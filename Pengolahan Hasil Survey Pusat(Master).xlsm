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ran\Videos\Jumat\Survey\"/>
    </mc:Choice>
  </mc:AlternateContent>
  <bookViews>
    <workbookView xWindow="360" yWindow="75" windowWidth="8955" windowHeight="5775" tabRatio="912"/>
  </bookViews>
  <sheets>
    <sheet name="Database" sheetId="3" r:id="rId1"/>
    <sheet name="Keterangan" sheetId="11" r:id="rId2"/>
    <sheet name="Hasil Survei Nasional" sheetId="6" r:id="rId3"/>
    <sheet name="Hasil Survei Region" sheetId="13" r:id="rId4"/>
    <sheet name="Hasil Survei Cabang" sheetId="12" r:id="rId5"/>
    <sheet name="Rank" sheetId="17" r:id="rId6"/>
    <sheet name="Draft" sheetId="16" state="hidden" r:id="rId7"/>
    <sheet name="Cabang" sheetId="20" state="hidden" r:id="rId8"/>
    <sheet name="Nasional" sheetId="18" state="hidden" r:id="rId9"/>
    <sheet name="Region" sheetId="19" state="hidden" r:id="rId10"/>
  </sheets>
  <externalReferences>
    <externalReference r:id="rId11"/>
  </externalReferences>
  <definedNames>
    <definedName name="_xlnm._FilterDatabase" localSheetId="0" hidden="1">Database!$B$3:$Z$364</definedName>
    <definedName name="Barat">Keterangan!$G$5:$G$19</definedName>
    <definedName name="cabang">Keterangan!$C$4:$C$50</definedName>
    <definedName name="cabangsudah">Keterangan!$P$4:$P$12</definedName>
    <definedName name="channel">Keterangan!$B$4:$B$6</definedName>
    <definedName name="_xlnm.Criteria" localSheetId="8">Nasional!$D$16</definedName>
    <definedName name="Dataview">Database!$B$4:$BB$59463</definedName>
    <definedName name="_xlnm.Extract" localSheetId="8">Nasional!$D$18:$H$18</definedName>
    <definedName name="KELAS">Keterangan!$K$4:$N$4</definedName>
    <definedName name="KelasA">Keterangan!$K$5:$K$12</definedName>
    <definedName name="KelasB">Keterangan!$L$5:$L$17</definedName>
    <definedName name="KelasC">Keterangan!$M$5:$M$15</definedName>
    <definedName name="KelasD">Keterangan!$N$5:$N$18</definedName>
    <definedName name="Kuisioner_ke">Keterangan!$F$4:$F$5</definedName>
    <definedName name="outlet">'[1]Database Outlet'!$C$4:$C$199</definedName>
    <definedName name="pilihan_channel">Keterangan!$E$4:$E$7</definedName>
    <definedName name="Region">Keterangan!$G$4:$I$4</definedName>
    <definedName name="Tengah">Keterangan!$H$5:$H$19</definedName>
    <definedName name="Timur">Keterangan!$I$5:$I$20</definedName>
    <definedName name="yangsudah">Rank!$S$6:$S$14</definedName>
  </definedNames>
  <calcPr calcId="152511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  <pivotCache cacheId="11" r:id="rId23"/>
    <pivotCache cacheId="12" r:id="rId24"/>
    <pivotCache cacheId="13" r:id="rId25"/>
    <pivotCache cacheId="14" r:id="rId26"/>
    <pivotCache cacheId="15" r:id="rId27"/>
    <pivotCache cacheId="16" r:id="rId28"/>
    <pivotCache cacheId="17" r:id="rId29"/>
    <pivotCache cacheId="18" r:id="rId30"/>
    <pivotCache cacheId="19" r:id="rId31"/>
    <pivotCache cacheId="20" r:id="rId32"/>
    <pivotCache cacheId="21" r:id="rId33"/>
    <pivotCache cacheId="22" r:id="rId34"/>
    <pivotCache cacheId="23" r:id="rId35"/>
    <pivotCache cacheId="24" r:id="rId36"/>
    <pivotCache cacheId="25" r:id="rId37"/>
  </pivotCaches>
</workbook>
</file>

<file path=xl/calcChain.xml><?xml version="1.0" encoding="utf-8"?>
<calcChain xmlns="http://schemas.openxmlformats.org/spreadsheetml/2006/main">
  <c r="B11" i="18" l="1"/>
  <c r="K10" i="6" l="1"/>
  <c r="K14" i="12"/>
  <c r="I25" i="6" l="1"/>
  <c r="B13" i="18" l="1"/>
  <c r="B14" i="20" l="1"/>
  <c r="B12" i="20"/>
  <c r="E43" i="16" l="1"/>
  <c r="C43" i="16"/>
  <c r="A43" i="16"/>
  <c r="M61" i="17"/>
  <c r="M62" i="17"/>
  <c r="M63" i="17"/>
  <c r="M64" i="17"/>
  <c r="M65" i="17"/>
  <c r="M60" i="17"/>
  <c r="M55" i="17"/>
  <c r="M56" i="17"/>
  <c r="M54" i="17"/>
  <c r="M47" i="17"/>
  <c r="M48" i="17"/>
  <c r="M49" i="17"/>
  <c r="M50" i="17"/>
  <c r="M46" i="17"/>
  <c r="M42" i="17"/>
  <c r="M41" i="17"/>
  <c r="G61" i="17"/>
  <c r="G62" i="17"/>
  <c r="G63" i="17"/>
  <c r="G64" i="17"/>
  <c r="G65" i="17"/>
  <c r="G60" i="17"/>
  <c r="A61" i="17"/>
  <c r="A62" i="17"/>
  <c r="A63" i="17"/>
  <c r="A64" i="17"/>
  <c r="A65" i="17"/>
  <c r="A60" i="17"/>
  <c r="G55" i="17"/>
  <c r="G56" i="17"/>
  <c r="G54" i="17"/>
  <c r="A56" i="17"/>
  <c r="A55" i="17"/>
  <c r="A54" i="17"/>
  <c r="G47" i="17"/>
  <c r="G48" i="17"/>
  <c r="G49" i="17"/>
  <c r="G50" i="17"/>
  <c r="G46" i="17"/>
  <c r="A47" i="17"/>
  <c r="A48" i="17"/>
  <c r="A49" i="17"/>
  <c r="A50" i="17"/>
  <c r="A46" i="17"/>
  <c r="G42" i="17"/>
  <c r="G41" i="17"/>
  <c r="A42" i="17"/>
  <c r="A41" i="17"/>
  <c r="M35" i="17"/>
  <c r="M36" i="17"/>
  <c r="M37" i="17"/>
  <c r="M34" i="17"/>
  <c r="G35" i="17"/>
  <c r="G36" i="17"/>
  <c r="G37" i="17"/>
  <c r="G34" i="17"/>
  <c r="A35" i="17"/>
  <c r="A36" i="17"/>
  <c r="A37" i="17"/>
  <c r="A34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7" i="17"/>
  <c r="A25" i="17"/>
  <c r="A26" i="17"/>
  <c r="A20" i="17"/>
  <c r="A21" i="17"/>
  <c r="A22" i="17"/>
  <c r="A23" i="17"/>
  <c r="A24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7" i="17"/>
  <c r="J10" i="13" l="1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3" i="12"/>
  <c r="K12" i="12"/>
  <c r="K11" i="12"/>
  <c r="K1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C16" i="12"/>
  <c r="C15" i="12"/>
  <c r="C14" i="12"/>
  <c r="C13" i="12"/>
  <c r="C12" i="12"/>
  <c r="C11" i="12"/>
  <c r="C10" i="12"/>
  <c r="D10" i="12"/>
  <c r="B15" i="12"/>
  <c r="B14" i="12"/>
  <c r="B13" i="12"/>
  <c r="B12" i="12"/>
  <c r="B11" i="12"/>
  <c r="B10" i="12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J28" i="13"/>
  <c r="J9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28" i="13"/>
  <c r="C27" i="13"/>
  <c r="C9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9" i="6"/>
  <c r="K9" i="6"/>
  <c r="B12" i="6"/>
  <c r="H14" i="6"/>
  <c r="D25" i="6"/>
  <c r="E9" i="6"/>
  <c r="D9" i="6"/>
  <c r="C9" i="6"/>
  <c r="J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I28" i="6"/>
  <c r="I27" i="6"/>
  <c r="I26" i="6"/>
  <c r="I24" i="6"/>
  <c r="I23" i="6"/>
  <c r="I22" i="6"/>
  <c r="I21" i="6"/>
  <c r="I20" i="6"/>
  <c r="I19" i="6"/>
  <c r="I18" i="6"/>
  <c r="I17" i="6"/>
  <c r="I16" i="6"/>
  <c r="I15" i="6"/>
  <c r="I14" i="6"/>
  <c r="I13" i="6"/>
  <c r="I11" i="6"/>
  <c r="I12" i="6"/>
  <c r="I10" i="6"/>
  <c r="H27" i="6"/>
  <c r="H28" i="6"/>
  <c r="H26" i="6"/>
  <c r="H25" i="6"/>
  <c r="H24" i="6"/>
  <c r="H23" i="6"/>
  <c r="H22" i="6"/>
  <c r="H21" i="6"/>
  <c r="H20" i="6"/>
  <c r="H19" i="6"/>
  <c r="H18" i="6"/>
  <c r="H17" i="6"/>
  <c r="H16" i="6"/>
  <c r="H15" i="6"/>
  <c r="H13" i="6"/>
  <c r="H12" i="6"/>
  <c r="H11" i="6"/>
  <c r="H10" i="6"/>
  <c r="I9" i="6"/>
  <c r="H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D28" i="6"/>
  <c r="D27" i="6"/>
  <c r="D26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1" i="6"/>
  <c r="B10" i="6"/>
  <c r="C29" i="13" l="1"/>
  <c r="E29" i="13"/>
  <c r="I29" i="13"/>
  <c r="K29" i="13"/>
  <c r="D29" i="13"/>
  <c r="H29" i="13"/>
  <c r="J29" i="13"/>
  <c r="B29" i="13"/>
  <c r="L27" i="13"/>
  <c r="M27" i="13" s="1"/>
  <c r="F28" i="13"/>
  <c r="G28" i="13" s="1"/>
  <c r="L28" i="13"/>
  <c r="M28" i="13" s="1"/>
  <c r="F10" i="13"/>
  <c r="G10" i="13" s="1"/>
  <c r="L10" i="13"/>
  <c r="M10" i="13" s="1"/>
  <c r="F11" i="13"/>
  <c r="G11" i="13" s="1"/>
  <c r="L11" i="13"/>
  <c r="M11" i="13" s="1"/>
  <c r="F12" i="13"/>
  <c r="G12" i="13" s="1"/>
  <c r="L12" i="13"/>
  <c r="M12" i="13" s="1"/>
  <c r="F13" i="13"/>
  <c r="G13" i="13" s="1"/>
  <c r="L13" i="13"/>
  <c r="M13" i="13" s="1"/>
  <c r="F14" i="13"/>
  <c r="G14" i="13" s="1"/>
  <c r="T14" i="13" s="1"/>
  <c r="H42" i="17" s="1"/>
  <c r="L14" i="13"/>
  <c r="M14" i="13" s="1"/>
  <c r="U14" i="13" s="1"/>
  <c r="I42" i="17" s="1"/>
  <c r="F15" i="13"/>
  <c r="G15" i="13" s="1"/>
  <c r="L15" i="13"/>
  <c r="M15" i="13" s="1"/>
  <c r="F16" i="13"/>
  <c r="G16" i="13" s="1"/>
  <c r="L16" i="13"/>
  <c r="M16" i="13" s="1"/>
  <c r="F17" i="13"/>
  <c r="G17" i="13" s="1"/>
  <c r="L17" i="13"/>
  <c r="M17" i="13" s="1"/>
  <c r="F18" i="13"/>
  <c r="G18" i="13" s="1"/>
  <c r="L18" i="13"/>
  <c r="M18" i="13" s="1"/>
  <c r="F19" i="13"/>
  <c r="G19" i="13" s="1"/>
  <c r="T19" i="13" s="1"/>
  <c r="H50" i="17" s="1"/>
  <c r="L19" i="13"/>
  <c r="M19" i="13" s="1"/>
  <c r="U19" i="13" s="1"/>
  <c r="I50" i="17" s="1"/>
  <c r="F20" i="13"/>
  <c r="G20" i="13" s="1"/>
  <c r="L20" i="13"/>
  <c r="M20" i="13" s="1"/>
  <c r="F21" i="13"/>
  <c r="G21" i="13" s="1"/>
  <c r="L21" i="13"/>
  <c r="M21" i="13" s="1"/>
  <c r="F22" i="13"/>
  <c r="G22" i="13" s="1"/>
  <c r="L22" i="13"/>
  <c r="M22" i="13" s="1"/>
  <c r="U22" i="13" s="1"/>
  <c r="I56" i="17" s="1"/>
  <c r="F23" i="13"/>
  <c r="G23" i="13" s="1"/>
  <c r="L23" i="13"/>
  <c r="M23" i="13" s="1"/>
  <c r="F24" i="13"/>
  <c r="G24" i="13" s="1"/>
  <c r="L24" i="13"/>
  <c r="M24" i="13" s="1"/>
  <c r="F25" i="13"/>
  <c r="G25" i="13" s="1"/>
  <c r="L25" i="13"/>
  <c r="M25" i="13" s="1"/>
  <c r="F26" i="13"/>
  <c r="G26" i="13" s="1"/>
  <c r="L26" i="13"/>
  <c r="M26" i="13" s="1"/>
  <c r="U26" i="13" s="1"/>
  <c r="I63" i="17" s="1"/>
  <c r="F27" i="13"/>
  <c r="G27" i="13" s="1"/>
  <c r="T27" i="13" s="1"/>
  <c r="H64" i="17" s="1"/>
  <c r="F9" i="13"/>
  <c r="G9" i="13" s="1"/>
  <c r="L9" i="13"/>
  <c r="I29" i="6"/>
  <c r="J30" i="12"/>
  <c r="I30" i="12"/>
  <c r="K30" i="12"/>
  <c r="H30" i="12"/>
  <c r="D30" i="12"/>
  <c r="E30" i="12"/>
  <c r="C30" i="12"/>
  <c r="B30" i="12"/>
  <c r="F11" i="12"/>
  <c r="G11" i="12" s="1"/>
  <c r="L11" i="12"/>
  <c r="M11" i="12" s="1"/>
  <c r="F12" i="12"/>
  <c r="G12" i="12" s="1"/>
  <c r="L12" i="12"/>
  <c r="M12" i="12" s="1"/>
  <c r="F13" i="12"/>
  <c r="G13" i="12" s="1"/>
  <c r="L13" i="12"/>
  <c r="M13" i="12" s="1"/>
  <c r="F14" i="12"/>
  <c r="G14" i="12" s="1"/>
  <c r="L14" i="12"/>
  <c r="M14" i="12" s="1"/>
  <c r="F15" i="12"/>
  <c r="G15" i="12" s="1"/>
  <c r="T15" i="12" s="1"/>
  <c r="N42" i="17" s="1"/>
  <c r="L15" i="12"/>
  <c r="M15" i="12" s="1"/>
  <c r="U15" i="12" s="1"/>
  <c r="O42" i="17" s="1"/>
  <c r="F16" i="12"/>
  <c r="G16" i="12" s="1"/>
  <c r="L16" i="12"/>
  <c r="M16" i="12" s="1"/>
  <c r="F17" i="12"/>
  <c r="G17" i="12" s="1"/>
  <c r="L17" i="12"/>
  <c r="M17" i="12" s="1"/>
  <c r="F18" i="12"/>
  <c r="G18" i="12" s="1"/>
  <c r="L18" i="12"/>
  <c r="M18" i="12" s="1"/>
  <c r="F19" i="12"/>
  <c r="G19" i="12" s="1"/>
  <c r="L19" i="12"/>
  <c r="M19" i="12" s="1"/>
  <c r="F20" i="12"/>
  <c r="G20" i="12" s="1"/>
  <c r="T20" i="12" s="1"/>
  <c r="N50" i="17" s="1"/>
  <c r="L20" i="12"/>
  <c r="M20" i="12" s="1"/>
  <c r="U20" i="12" s="1"/>
  <c r="O50" i="17" s="1"/>
  <c r="F21" i="12"/>
  <c r="G21" i="12" s="1"/>
  <c r="L21" i="12"/>
  <c r="M21" i="12" s="1"/>
  <c r="F22" i="12"/>
  <c r="G22" i="12" s="1"/>
  <c r="L22" i="12"/>
  <c r="M22" i="12" s="1"/>
  <c r="F23" i="12"/>
  <c r="G23" i="12" s="1"/>
  <c r="T23" i="12" s="1"/>
  <c r="N56" i="17" s="1"/>
  <c r="L23" i="12"/>
  <c r="M23" i="12" s="1"/>
  <c r="F24" i="12"/>
  <c r="G24" i="12" s="1"/>
  <c r="L24" i="12"/>
  <c r="M24" i="12" s="1"/>
  <c r="F25" i="12"/>
  <c r="G25" i="12" s="1"/>
  <c r="L25" i="12"/>
  <c r="M25" i="12" s="1"/>
  <c r="F26" i="12"/>
  <c r="G26" i="12" s="1"/>
  <c r="L26" i="12"/>
  <c r="M26" i="12" s="1"/>
  <c r="F27" i="12"/>
  <c r="G27" i="12" s="1"/>
  <c r="L27" i="12"/>
  <c r="M27" i="12" s="1"/>
  <c r="F28" i="12"/>
  <c r="G28" i="12" s="1"/>
  <c r="L28" i="12"/>
  <c r="M28" i="12" s="1"/>
  <c r="F29" i="12"/>
  <c r="G29" i="12" s="1"/>
  <c r="T29" i="12" s="1"/>
  <c r="N65" i="17" s="1"/>
  <c r="L29" i="12"/>
  <c r="M29" i="12" s="1"/>
  <c r="U29" i="12" s="1"/>
  <c r="O65" i="17" s="1"/>
  <c r="F10" i="12"/>
  <c r="L10" i="12"/>
  <c r="L9" i="6"/>
  <c r="M9" i="6" s="1"/>
  <c r="K29" i="6"/>
  <c r="F9" i="6"/>
  <c r="G9" i="6" s="1"/>
  <c r="H29" i="6"/>
  <c r="J29" i="6"/>
  <c r="C29" i="6"/>
  <c r="B29" i="6"/>
  <c r="F11" i="6"/>
  <c r="G11" i="6" s="1"/>
  <c r="E29" i="6"/>
  <c r="D29" i="6"/>
  <c r="F12" i="6"/>
  <c r="G12" i="6" s="1"/>
  <c r="F13" i="6"/>
  <c r="G13" i="6" s="1"/>
  <c r="F15" i="6"/>
  <c r="G15" i="6" s="1"/>
  <c r="F19" i="6"/>
  <c r="G19" i="6" s="1"/>
  <c r="F21" i="6"/>
  <c r="G21" i="6" s="1"/>
  <c r="F23" i="6"/>
  <c r="G23" i="6" s="1"/>
  <c r="F25" i="6"/>
  <c r="G25" i="6" s="1"/>
  <c r="F27" i="6"/>
  <c r="G27" i="6" s="1"/>
  <c r="F17" i="6"/>
  <c r="G17" i="6" s="1"/>
  <c r="L19" i="6"/>
  <c r="M19" i="6" s="1"/>
  <c r="L21" i="6"/>
  <c r="M21" i="6" s="1"/>
  <c r="L23" i="6"/>
  <c r="M23" i="6" s="1"/>
  <c r="L25" i="6"/>
  <c r="M25" i="6" s="1"/>
  <c r="L22" i="6"/>
  <c r="L24" i="6"/>
  <c r="M24" i="6" s="1"/>
  <c r="L26" i="6"/>
  <c r="M26" i="6" s="1"/>
  <c r="L20" i="6"/>
  <c r="M20" i="6" s="1"/>
  <c r="F14" i="6"/>
  <c r="G14" i="6" s="1"/>
  <c r="T14" i="6" s="1"/>
  <c r="B42" i="17" s="1"/>
  <c r="F16" i="6"/>
  <c r="G16" i="6" s="1"/>
  <c r="F18" i="6"/>
  <c r="G18" i="6" s="1"/>
  <c r="F20" i="6"/>
  <c r="G20" i="6" s="1"/>
  <c r="F22" i="6"/>
  <c r="G22" i="6" s="1"/>
  <c r="F24" i="6"/>
  <c r="G24" i="6" s="1"/>
  <c r="F26" i="6"/>
  <c r="G26" i="6" s="1"/>
  <c r="F28" i="6"/>
  <c r="G28" i="6" s="1"/>
  <c r="F10" i="6"/>
  <c r="G10" i="6" s="1"/>
  <c r="L17" i="6"/>
  <c r="M17" i="6" s="1"/>
  <c r="L28" i="6"/>
  <c r="M28" i="6" s="1"/>
  <c r="L27" i="6"/>
  <c r="M27" i="6" s="1"/>
  <c r="M22" i="6"/>
  <c r="L18" i="6"/>
  <c r="M18" i="6" s="1"/>
  <c r="L16" i="6"/>
  <c r="M16" i="6" s="1"/>
  <c r="L15" i="6"/>
  <c r="M15" i="6" s="1"/>
  <c r="L14" i="6"/>
  <c r="M14" i="6" s="1"/>
  <c r="L12" i="6"/>
  <c r="M12" i="6" s="1"/>
  <c r="L11" i="6"/>
  <c r="M11" i="6" s="1"/>
  <c r="L10" i="6"/>
  <c r="M10" i="6" s="1"/>
  <c r="L13" i="6"/>
  <c r="M13" i="6" s="1"/>
  <c r="U13" i="6" s="1"/>
  <c r="C41" i="17" s="1"/>
  <c r="T22" i="13" l="1"/>
  <c r="H56" i="17" s="1"/>
  <c r="U11" i="6"/>
  <c r="C36" i="17" s="1"/>
  <c r="U16" i="6"/>
  <c r="C47" i="17" s="1"/>
  <c r="U22" i="6"/>
  <c r="C56" i="17" s="1"/>
  <c r="U28" i="6"/>
  <c r="C65" i="17" s="1"/>
  <c r="T26" i="6"/>
  <c r="B63" i="17" s="1"/>
  <c r="T22" i="6"/>
  <c r="B56" i="17" s="1"/>
  <c r="T18" i="6"/>
  <c r="B49" i="17" s="1"/>
  <c r="R10" i="6"/>
  <c r="B8" i="17" s="1"/>
  <c r="T10" i="6"/>
  <c r="B35" i="17" s="1"/>
  <c r="U14" i="6"/>
  <c r="C42" i="17" s="1"/>
  <c r="U26" i="6"/>
  <c r="C63" i="17" s="1"/>
  <c r="U23" i="6"/>
  <c r="C60" i="17" s="1"/>
  <c r="U19" i="6"/>
  <c r="C50" i="17" s="1"/>
  <c r="T27" i="6"/>
  <c r="B64" i="17" s="1"/>
  <c r="T23" i="6"/>
  <c r="B60" i="17" s="1"/>
  <c r="T19" i="6"/>
  <c r="B50" i="17" s="1"/>
  <c r="T13" i="6"/>
  <c r="B41" i="17" s="1"/>
  <c r="T11" i="6"/>
  <c r="B36" i="17" s="1"/>
  <c r="U28" i="12"/>
  <c r="O64" i="17" s="1"/>
  <c r="U27" i="12"/>
  <c r="O63" i="17" s="1"/>
  <c r="U26" i="12"/>
  <c r="O62" i="17" s="1"/>
  <c r="U25" i="12"/>
  <c r="O61" i="17" s="1"/>
  <c r="U24" i="12"/>
  <c r="O60" i="17" s="1"/>
  <c r="U23" i="12"/>
  <c r="O56" i="17" s="1"/>
  <c r="U22" i="12"/>
  <c r="O55" i="17" s="1"/>
  <c r="U21" i="12"/>
  <c r="O54" i="17" s="1"/>
  <c r="U19" i="12"/>
  <c r="O49" i="17" s="1"/>
  <c r="U18" i="12"/>
  <c r="O48" i="17" s="1"/>
  <c r="U17" i="12"/>
  <c r="O47" i="17" s="1"/>
  <c r="U16" i="12"/>
  <c r="O46" i="17" s="1"/>
  <c r="U14" i="12"/>
  <c r="O41" i="17" s="1"/>
  <c r="U25" i="13"/>
  <c r="I62" i="17" s="1"/>
  <c r="U24" i="13"/>
  <c r="I61" i="17" s="1"/>
  <c r="U23" i="13"/>
  <c r="I60" i="17" s="1"/>
  <c r="U21" i="13"/>
  <c r="I55" i="17" s="1"/>
  <c r="U20" i="13"/>
  <c r="I54" i="17" s="1"/>
  <c r="U18" i="13"/>
  <c r="I49" i="17" s="1"/>
  <c r="U17" i="13"/>
  <c r="I48" i="17" s="1"/>
  <c r="U16" i="13"/>
  <c r="I47" i="17" s="1"/>
  <c r="U15" i="13"/>
  <c r="I46" i="17" s="1"/>
  <c r="U13" i="13"/>
  <c r="I41" i="17" s="1"/>
  <c r="U28" i="13"/>
  <c r="I65" i="17" s="1"/>
  <c r="U27" i="13"/>
  <c r="I64" i="17" s="1"/>
  <c r="U9" i="6"/>
  <c r="C34" i="17" s="1"/>
  <c r="U10" i="6"/>
  <c r="C35" i="17" s="1"/>
  <c r="U12" i="6"/>
  <c r="C37" i="17" s="1"/>
  <c r="U15" i="6"/>
  <c r="C46" i="17" s="1"/>
  <c r="U18" i="6"/>
  <c r="C49" i="17" s="1"/>
  <c r="U27" i="6"/>
  <c r="C64" i="17" s="1"/>
  <c r="U17" i="6"/>
  <c r="C48" i="17" s="1"/>
  <c r="T28" i="6"/>
  <c r="B65" i="17" s="1"/>
  <c r="T24" i="6"/>
  <c r="B61" i="17" s="1"/>
  <c r="T20" i="6"/>
  <c r="B54" i="17" s="1"/>
  <c r="T16" i="6"/>
  <c r="B47" i="17" s="1"/>
  <c r="U20" i="6"/>
  <c r="C54" i="17" s="1"/>
  <c r="U24" i="6"/>
  <c r="C61" i="17" s="1"/>
  <c r="U25" i="6"/>
  <c r="C62" i="17" s="1"/>
  <c r="U21" i="6"/>
  <c r="C55" i="17" s="1"/>
  <c r="T17" i="6"/>
  <c r="B48" i="17" s="1"/>
  <c r="T25" i="6"/>
  <c r="B62" i="17" s="1"/>
  <c r="T21" i="6"/>
  <c r="B55" i="17" s="1"/>
  <c r="T15" i="6"/>
  <c r="B46" i="17" s="1"/>
  <c r="T12" i="6"/>
  <c r="B37" i="17" s="1"/>
  <c r="T9" i="6"/>
  <c r="B34" i="17" s="1"/>
  <c r="T28" i="12"/>
  <c r="N64" i="17" s="1"/>
  <c r="T27" i="12"/>
  <c r="N63" i="17" s="1"/>
  <c r="T26" i="12"/>
  <c r="N62" i="17" s="1"/>
  <c r="T25" i="12"/>
  <c r="N61" i="17" s="1"/>
  <c r="T24" i="12"/>
  <c r="N60" i="17" s="1"/>
  <c r="T22" i="12"/>
  <c r="N55" i="17" s="1"/>
  <c r="T21" i="12"/>
  <c r="N54" i="17" s="1"/>
  <c r="T19" i="12"/>
  <c r="N49" i="17" s="1"/>
  <c r="T18" i="12"/>
  <c r="N48" i="17" s="1"/>
  <c r="T17" i="12"/>
  <c r="N47" i="17" s="1"/>
  <c r="T16" i="12"/>
  <c r="N46" i="17" s="1"/>
  <c r="T14" i="12"/>
  <c r="N41" i="17" s="1"/>
  <c r="T26" i="13"/>
  <c r="H63" i="17" s="1"/>
  <c r="T25" i="13"/>
  <c r="H62" i="17" s="1"/>
  <c r="T24" i="13"/>
  <c r="H61" i="17" s="1"/>
  <c r="T23" i="13"/>
  <c r="H60" i="17" s="1"/>
  <c r="T21" i="13"/>
  <c r="H55" i="17" s="1"/>
  <c r="T20" i="13"/>
  <c r="H54" i="17" s="1"/>
  <c r="T18" i="13"/>
  <c r="H49" i="17" s="1"/>
  <c r="T17" i="13"/>
  <c r="H48" i="17" s="1"/>
  <c r="T16" i="13"/>
  <c r="H47" i="17" s="1"/>
  <c r="T15" i="13"/>
  <c r="H46" i="17" s="1"/>
  <c r="T13" i="13"/>
  <c r="H41" i="17" s="1"/>
  <c r="T28" i="13"/>
  <c r="H65" i="17" s="1"/>
  <c r="R26" i="6"/>
  <c r="B24" i="17" s="1"/>
  <c r="R22" i="6"/>
  <c r="B20" i="17" s="1"/>
  <c r="R18" i="6"/>
  <c r="B16" i="17" s="1"/>
  <c r="R14" i="6"/>
  <c r="B12" i="17" s="1"/>
  <c r="R27" i="6"/>
  <c r="B25" i="17" s="1"/>
  <c r="R23" i="6"/>
  <c r="B21" i="17" s="1"/>
  <c r="R19" i="6"/>
  <c r="B17" i="17" s="1"/>
  <c r="R13" i="6"/>
  <c r="B11" i="17" s="1"/>
  <c r="R11" i="6"/>
  <c r="B9" i="17" s="1"/>
  <c r="R28" i="6"/>
  <c r="B26" i="17" s="1"/>
  <c r="R24" i="6"/>
  <c r="B22" i="17" s="1"/>
  <c r="R20" i="6"/>
  <c r="B18" i="17" s="1"/>
  <c r="R16" i="6"/>
  <c r="B14" i="17" s="1"/>
  <c r="R17" i="6"/>
  <c r="B15" i="17" s="1"/>
  <c r="R25" i="6"/>
  <c r="B23" i="17" s="1"/>
  <c r="R21" i="6"/>
  <c r="B19" i="17" s="1"/>
  <c r="R15" i="6"/>
  <c r="B13" i="17" s="1"/>
  <c r="R12" i="6"/>
  <c r="B10" i="17" s="1"/>
  <c r="R9" i="6"/>
  <c r="B7" i="17" s="1"/>
  <c r="N12" i="13"/>
  <c r="N25" i="13"/>
  <c r="N19" i="13"/>
  <c r="N28" i="13"/>
  <c r="L30" i="13"/>
  <c r="N15" i="13"/>
  <c r="F30" i="13"/>
  <c r="N21" i="13"/>
  <c r="N17" i="13"/>
  <c r="N10" i="13"/>
  <c r="N27" i="13"/>
  <c r="N26" i="13"/>
  <c r="N24" i="13"/>
  <c r="N23" i="13"/>
  <c r="N22" i="13"/>
  <c r="N20" i="13"/>
  <c r="N18" i="13"/>
  <c r="N16" i="13"/>
  <c r="N14" i="13"/>
  <c r="N13" i="13"/>
  <c r="N11" i="13"/>
  <c r="L29" i="13"/>
  <c r="M9" i="13"/>
  <c r="F29" i="13"/>
  <c r="N12" i="12"/>
  <c r="L31" i="12"/>
  <c r="N26" i="12"/>
  <c r="N24" i="12"/>
  <c r="N22" i="12"/>
  <c r="N20" i="12"/>
  <c r="N18" i="12"/>
  <c r="N16" i="12"/>
  <c r="N14" i="12"/>
  <c r="F31" i="12"/>
  <c r="N11" i="12"/>
  <c r="N29" i="12"/>
  <c r="N28" i="12"/>
  <c r="N27" i="12"/>
  <c r="N25" i="12"/>
  <c r="N23" i="12"/>
  <c r="N21" i="12"/>
  <c r="N19" i="12"/>
  <c r="N17" i="12"/>
  <c r="N15" i="12"/>
  <c r="N13" i="12"/>
  <c r="F30" i="12"/>
  <c r="G10" i="12"/>
  <c r="T10" i="12" s="1"/>
  <c r="N34" i="17" s="1"/>
  <c r="L30" i="12"/>
  <c r="M10" i="12"/>
  <c r="U11" i="12" s="1"/>
  <c r="O35" i="17" s="1"/>
  <c r="L30" i="6"/>
  <c r="F30" i="6"/>
  <c r="F29" i="6"/>
  <c r="N11" i="6"/>
  <c r="N27" i="6"/>
  <c r="N17" i="6"/>
  <c r="N19" i="6"/>
  <c r="N20" i="6"/>
  <c r="N24" i="6"/>
  <c r="N16" i="6"/>
  <c r="N23" i="6"/>
  <c r="N12" i="6"/>
  <c r="N28" i="6"/>
  <c r="N14" i="6"/>
  <c r="N18" i="6"/>
  <c r="N21" i="6"/>
  <c r="N26" i="6"/>
  <c r="N25" i="6"/>
  <c r="N15" i="6"/>
  <c r="L29" i="6"/>
  <c r="N22" i="6"/>
  <c r="N13" i="6"/>
  <c r="Q13" i="6" s="1"/>
  <c r="D41" i="17" s="1"/>
  <c r="N10" i="6"/>
  <c r="G29" i="6"/>
  <c r="M29" i="6"/>
  <c r="S14" i="6" s="1"/>
  <c r="C12" i="17" s="1"/>
  <c r="U13" i="12" l="1"/>
  <c r="O37" i="17" s="1"/>
  <c r="T12" i="12"/>
  <c r="N36" i="17" s="1"/>
  <c r="R26" i="13"/>
  <c r="H24" i="17" s="1"/>
  <c r="T9" i="13"/>
  <c r="H34" i="17" s="1"/>
  <c r="S9" i="13"/>
  <c r="I7" i="17" s="1"/>
  <c r="U9" i="13"/>
  <c r="I34" i="17" s="1"/>
  <c r="S10" i="12"/>
  <c r="O7" i="17" s="1"/>
  <c r="U10" i="12"/>
  <c r="O34" i="17" s="1"/>
  <c r="T11" i="13"/>
  <c r="H36" i="17" s="1"/>
  <c r="U11" i="13"/>
  <c r="I36" i="17" s="1"/>
  <c r="Q13" i="13"/>
  <c r="J41" i="17" s="1"/>
  <c r="T10" i="13"/>
  <c r="H35" i="17" s="1"/>
  <c r="T12" i="13"/>
  <c r="H37" i="17" s="1"/>
  <c r="T11" i="12"/>
  <c r="N35" i="17" s="1"/>
  <c r="T13" i="12"/>
  <c r="N37" i="17" s="1"/>
  <c r="U10" i="13"/>
  <c r="I35" i="17" s="1"/>
  <c r="U12" i="13"/>
  <c r="I37" i="17" s="1"/>
  <c r="U12" i="12"/>
  <c r="O36" i="17" s="1"/>
  <c r="G30" i="12"/>
  <c r="R10" i="12"/>
  <c r="N7" i="17" s="1"/>
  <c r="R12" i="12"/>
  <c r="N9" i="17" s="1"/>
  <c r="R14" i="12"/>
  <c r="N11" i="17" s="1"/>
  <c r="R16" i="12"/>
  <c r="N13" i="17" s="1"/>
  <c r="R18" i="12"/>
  <c r="N15" i="17" s="1"/>
  <c r="R20" i="12"/>
  <c r="N17" i="17" s="1"/>
  <c r="R22" i="12"/>
  <c r="N19" i="17" s="1"/>
  <c r="R24" i="12"/>
  <c r="N21" i="17" s="1"/>
  <c r="R26" i="12"/>
  <c r="N23" i="17" s="1"/>
  <c r="R28" i="12"/>
  <c r="N25" i="17" s="1"/>
  <c r="S11" i="12"/>
  <c r="O8" i="17" s="1"/>
  <c r="S13" i="12"/>
  <c r="O10" i="17" s="1"/>
  <c r="S15" i="12"/>
  <c r="O12" i="17" s="1"/>
  <c r="S17" i="12"/>
  <c r="O14" i="17" s="1"/>
  <c r="S19" i="12"/>
  <c r="O16" i="17" s="1"/>
  <c r="S21" i="12"/>
  <c r="O18" i="17" s="1"/>
  <c r="S23" i="12"/>
  <c r="O20" i="17" s="1"/>
  <c r="S25" i="12"/>
  <c r="O22" i="17" s="1"/>
  <c r="S27" i="12"/>
  <c r="O24" i="17" s="1"/>
  <c r="S29" i="12"/>
  <c r="O26" i="17" s="1"/>
  <c r="R11" i="12"/>
  <c r="N8" i="17" s="1"/>
  <c r="R13" i="12"/>
  <c r="N10" i="17" s="1"/>
  <c r="R15" i="12"/>
  <c r="N12" i="17" s="1"/>
  <c r="R17" i="12"/>
  <c r="N14" i="17" s="1"/>
  <c r="R19" i="12"/>
  <c r="N16" i="17" s="1"/>
  <c r="R21" i="12"/>
  <c r="N18" i="17" s="1"/>
  <c r="R23" i="12"/>
  <c r="N20" i="17" s="1"/>
  <c r="R25" i="12"/>
  <c r="N22" i="17" s="1"/>
  <c r="R27" i="12"/>
  <c r="N24" i="17" s="1"/>
  <c r="R29" i="12"/>
  <c r="N26" i="17" s="1"/>
  <c r="S12" i="12"/>
  <c r="O9" i="17" s="1"/>
  <c r="S14" i="12"/>
  <c r="O11" i="17" s="1"/>
  <c r="S16" i="12"/>
  <c r="O13" i="17" s="1"/>
  <c r="S18" i="12"/>
  <c r="O15" i="17" s="1"/>
  <c r="S20" i="12"/>
  <c r="O17" i="17" s="1"/>
  <c r="S22" i="12"/>
  <c r="O19" i="17" s="1"/>
  <c r="S24" i="12"/>
  <c r="O21" i="17" s="1"/>
  <c r="S26" i="12"/>
  <c r="O23" i="17" s="1"/>
  <c r="S28" i="12"/>
  <c r="O25" i="17" s="1"/>
  <c r="R10" i="13"/>
  <c r="H8" i="17" s="1"/>
  <c r="R12" i="13"/>
  <c r="H10" i="17" s="1"/>
  <c r="R14" i="13"/>
  <c r="H12" i="17" s="1"/>
  <c r="R16" i="13"/>
  <c r="H14" i="17" s="1"/>
  <c r="R18" i="13"/>
  <c r="H16" i="17" s="1"/>
  <c r="R20" i="13"/>
  <c r="H18" i="17" s="1"/>
  <c r="R22" i="13"/>
  <c r="H20" i="17" s="1"/>
  <c r="R24" i="13"/>
  <c r="H22" i="17" s="1"/>
  <c r="S27" i="13"/>
  <c r="I25" i="17" s="1"/>
  <c r="S10" i="13"/>
  <c r="I8" i="17" s="1"/>
  <c r="S12" i="13"/>
  <c r="I10" i="17" s="1"/>
  <c r="S14" i="13"/>
  <c r="I12" i="17" s="1"/>
  <c r="S16" i="13"/>
  <c r="I14" i="17" s="1"/>
  <c r="S18" i="13"/>
  <c r="I16" i="17" s="1"/>
  <c r="S20" i="13"/>
  <c r="I18" i="17" s="1"/>
  <c r="S22" i="13"/>
  <c r="I20" i="17" s="1"/>
  <c r="S24" i="13"/>
  <c r="I22" i="17" s="1"/>
  <c r="S26" i="13"/>
  <c r="I24" i="17" s="1"/>
  <c r="G29" i="13"/>
  <c r="R9" i="13"/>
  <c r="H7" i="17" s="1"/>
  <c r="R28" i="13"/>
  <c r="H26" i="17" s="1"/>
  <c r="R11" i="13"/>
  <c r="H9" i="17" s="1"/>
  <c r="R13" i="13"/>
  <c r="H11" i="17" s="1"/>
  <c r="R15" i="13"/>
  <c r="H13" i="17" s="1"/>
  <c r="R17" i="13"/>
  <c r="H15" i="17" s="1"/>
  <c r="R19" i="13"/>
  <c r="H17" i="17" s="1"/>
  <c r="R21" i="13"/>
  <c r="H19" i="17" s="1"/>
  <c r="R23" i="13"/>
  <c r="H21" i="17" s="1"/>
  <c r="R25" i="13"/>
  <c r="H23" i="17" s="1"/>
  <c r="R27" i="13"/>
  <c r="H25" i="17" s="1"/>
  <c r="S28" i="13"/>
  <c r="I26" i="17" s="1"/>
  <c r="S11" i="13"/>
  <c r="I9" i="17" s="1"/>
  <c r="S13" i="13"/>
  <c r="I11" i="17" s="1"/>
  <c r="S15" i="13"/>
  <c r="I13" i="17" s="1"/>
  <c r="S17" i="13"/>
  <c r="I15" i="17" s="1"/>
  <c r="S19" i="13"/>
  <c r="I17" i="17" s="1"/>
  <c r="S21" i="13"/>
  <c r="I19" i="17" s="1"/>
  <c r="S23" i="13"/>
  <c r="I21" i="17" s="1"/>
  <c r="S25" i="13"/>
  <c r="I23" i="17" s="1"/>
  <c r="S21" i="6"/>
  <c r="C19" i="17" s="1"/>
  <c r="S24" i="6"/>
  <c r="C22" i="17" s="1"/>
  <c r="S17" i="6"/>
  <c r="C15" i="17" s="1"/>
  <c r="S18" i="6"/>
  <c r="C16" i="17" s="1"/>
  <c r="S12" i="6"/>
  <c r="C10" i="17" s="1"/>
  <c r="S9" i="6"/>
  <c r="C7" i="17" s="1"/>
  <c r="S23" i="6"/>
  <c r="C21" i="17" s="1"/>
  <c r="S28" i="6"/>
  <c r="C26" i="17" s="1"/>
  <c r="S16" i="6"/>
  <c r="C14" i="17" s="1"/>
  <c r="S13" i="6"/>
  <c r="C11" i="17" s="1"/>
  <c r="S25" i="6"/>
  <c r="C23" i="17" s="1"/>
  <c r="S20" i="6"/>
  <c r="C18" i="17" s="1"/>
  <c r="S27" i="6"/>
  <c r="C25" i="17" s="1"/>
  <c r="S15" i="6"/>
  <c r="C13" i="17" s="1"/>
  <c r="S10" i="6"/>
  <c r="C8" i="17" s="1"/>
  <c r="S11" i="6"/>
  <c r="C9" i="17" s="1"/>
  <c r="S19" i="6"/>
  <c r="C17" i="17" s="1"/>
  <c r="S26" i="6"/>
  <c r="C24" i="17" s="1"/>
  <c r="S22" i="6"/>
  <c r="C20" i="17" s="1"/>
  <c r="Q22" i="6"/>
  <c r="D56" i="17" s="1"/>
  <c r="Q15" i="6"/>
  <c r="D46" i="17" s="1"/>
  <c r="Q25" i="6"/>
  <c r="D62" i="17" s="1"/>
  <c r="Q26" i="6"/>
  <c r="D63" i="17" s="1"/>
  <c r="Q18" i="6"/>
  <c r="D49" i="17" s="1"/>
  <c r="Q28" i="6"/>
  <c r="Q23" i="6"/>
  <c r="D60" i="17" s="1"/>
  <c r="Q24" i="6"/>
  <c r="D61" i="17" s="1"/>
  <c r="Q19" i="6"/>
  <c r="D50" i="17" s="1"/>
  <c r="Q27" i="6"/>
  <c r="D64" i="17" s="1"/>
  <c r="Q21" i="6"/>
  <c r="D55" i="17" s="1"/>
  <c r="Q14" i="6"/>
  <c r="D42" i="17" s="1"/>
  <c r="Q16" i="6"/>
  <c r="D47" i="17" s="1"/>
  <c r="Q20" i="6"/>
  <c r="D54" i="17" s="1"/>
  <c r="Q17" i="6"/>
  <c r="D48" i="17" s="1"/>
  <c r="Q16" i="13"/>
  <c r="J47" i="17" s="1"/>
  <c r="Q20" i="13"/>
  <c r="J54" i="17" s="1"/>
  <c r="Q23" i="13"/>
  <c r="J60" i="17" s="1"/>
  <c r="Q14" i="13"/>
  <c r="J42" i="17" s="1"/>
  <c r="Q18" i="13"/>
  <c r="J49" i="17" s="1"/>
  <c r="Q22" i="13"/>
  <c r="J56" i="17" s="1"/>
  <c r="Q24" i="13"/>
  <c r="J61" i="17" s="1"/>
  <c r="Q27" i="13"/>
  <c r="J64" i="17" s="1"/>
  <c r="Q17" i="13"/>
  <c r="J48" i="17" s="1"/>
  <c r="Q19" i="13"/>
  <c r="J50" i="17" s="1"/>
  <c r="Q26" i="13"/>
  <c r="J63" i="17" s="1"/>
  <c r="Q21" i="13"/>
  <c r="J55" i="17" s="1"/>
  <c r="Q15" i="13"/>
  <c r="J46" i="17" s="1"/>
  <c r="Q28" i="13"/>
  <c r="J65" i="17" s="1"/>
  <c r="Q25" i="13"/>
  <c r="J62" i="17" s="1"/>
  <c r="N9" i="13"/>
  <c r="Q9" i="13" s="1"/>
  <c r="J34" i="17" s="1"/>
  <c r="M29" i="13"/>
  <c r="N10" i="12"/>
  <c r="Q10" i="12" s="1"/>
  <c r="P34" i="17" s="1"/>
  <c r="M30" i="12"/>
  <c r="L31" i="6"/>
  <c r="B44" i="18" s="1"/>
  <c r="N9" i="6"/>
  <c r="Q10" i="6" s="1"/>
  <c r="D35" i="17" s="1"/>
  <c r="D65" i="17" l="1"/>
  <c r="L32" i="12"/>
  <c r="B42" i="20" s="1"/>
  <c r="L31" i="13"/>
  <c r="Q12" i="12"/>
  <c r="P36" i="17" s="1"/>
  <c r="Q13" i="12"/>
  <c r="P37" i="17" s="1"/>
  <c r="Q11" i="12"/>
  <c r="P35" i="17" s="1"/>
  <c r="Q10" i="13"/>
  <c r="J35" i="17" s="1"/>
  <c r="Q11" i="6"/>
  <c r="D36" i="17" s="1"/>
  <c r="Q12" i="6"/>
  <c r="D37" i="17" s="1"/>
  <c r="N29" i="6"/>
  <c r="Q9" i="6"/>
  <c r="D34" i="17" s="1"/>
  <c r="Q12" i="13"/>
  <c r="J37" i="17" s="1"/>
  <c r="Q11" i="13"/>
  <c r="J36" i="17" s="1"/>
  <c r="N29" i="13"/>
  <c r="O9" i="13"/>
  <c r="J7" i="17" s="1"/>
  <c r="O26" i="13"/>
  <c r="J24" i="17" s="1"/>
  <c r="O22" i="13"/>
  <c r="J20" i="17" s="1"/>
  <c r="O18" i="13"/>
  <c r="J16" i="17" s="1"/>
  <c r="O13" i="13"/>
  <c r="J11" i="17" s="1"/>
  <c r="O11" i="13"/>
  <c r="J9" i="17" s="1"/>
  <c r="O25" i="13"/>
  <c r="J23" i="17" s="1"/>
  <c r="O21" i="13"/>
  <c r="J19" i="17" s="1"/>
  <c r="O17" i="13"/>
  <c r="J15" i="17" s="1"/>
  <c r="O10" i="13"/>
  <c r="J8" i="17" s="1"/>
  <c r="O28" i="13"/>
  <c r="J26" i="17" s="1"/>
  <c r="O24" i="13"/>
  <c r="J22" i="17" s="1"/>
  <c r="O20" i="13"/>
  <c r="J18" i="17" s="1"/>
  <c r="O16" i="13"/>
  <c r="J14" i="17" s="1"/>
  <c r="O14" i="13"/>
  <c r="J12" i="17" s="1"/>
  <c r="O27" i="13"/>
  <c r="J25" i="17" s="1"/>
  <c r="O23" i="13"/>
  <c r="J21" i="17" s="1"/>
  <c r="O19" i="13"/>
  <c r="J17" i="17" s="1"/>
  <c r="O15" i="13"/>
  <c r="J13" i="17" s="1"/>
  <c r="O12" i="13"/>
  <c r="J10" i="17" s="1"/>
  <c r="N30" i="12"/>
  <c r="O10" i="12"/>
  <c r="P7" i="17" s="1"/>
  <c r="O25" i="12"/>
  <c r="P22" i="17" s="1"/>
  <c r="O14" i="12"/>
  <c r="P11" i="17" s="1"/>
  <c r="O24" i="12"/>
  <c r="P21" i="17" s="1"/>
  <c r="O27" i="12"/>
  <c r="P24" i="17" s="1"/>
  <c r="O23" i="12"/>
  <c r="P20" i="17" s="1"/>
  <c r="O19" i="12"/>
  <c r="P16" i="17" s="1"/>
  <c r="O15" i="12"/>
  <c r="P12" i="17" s="1"/>
  <c r="O11" i="12"/>
  <c r="P8" i="17" s="1"/>
  <c r="O26" i="12"/>
  <c r="P23" i="17" s="1"/>
  <c r="O20" i="12"/>
  <c r="P17" i="17" s="1"/>
  <c r="O16" i="12"/>
  <c r="P13" i="17" s="1"/>
  <c r="O12" i="12"/>
  <c r="P9" i="17" s="1"/>
  <c r="O29" i="12"/>
  <c r="P26" i="17" s="1"/>
  <c r="O21" i="12"/>
  <c r="P18" i="17" s="1"/>
  <c r="O17" i="12"/>
  <c r="P14" i="17" s="1"/>
  <c r="O13" i="12"/>
  <c r="P10" i="17" s="1"/>
  <c r="O28" i="12"/>
  <c r="P25" i="17" s="1"/>
  <c r="O22" i="12"/>
  <c r="P19" i="17" s="1"/>
  <c r="O18" i="12"/>
  <c r="P15" i="17" s="1"/>
  <c r="O22" i="6"/>
  <c r="D20" i="17" s="1"/>
  <c r="O25" i="6"/>
  <c r="D23" i="17" s="1"/>
  <c r="O14" i="6"/>
  <c r="D12" i="17" s="1"/>
  <c r="O17" i="6"/>
  <c r="D15" i="17" s="1"/>
  <c r="O26" i="6"/>
  <c r="D24" i="17" s="1"/>
  <c r="O18" i="6"/>
  <c r="D16" i="17" s="1"/>
  <c r="O10" i="6"/>
  <c r="D8" i="17" s="1"/>
  <c r="O21" i="6"/>
  <c r="D19" i="17" s="1"/>
  <c r="O13" i="6"/>
  <c r="D11" i="17" s="1"/>
  <c r="O28" i="6"/>
  <c r="D26" i="17" s="1"/>
  <c r="O24" i="6"/>
  <c r="D22" i="17" s="1"/>
  <c r="O20" i="6"/>
  <c r="D18" i="17" s="1"/>
  <c r="O16" i="6"/>
  <c r="D14" i="17" s="1"/>
  <c r="O12" i="6"/>
  <c r="D10" i="17" s="1"/>
  <c r="O27" i="6"/>
  <c r="D25" i="17" s="1"/>
  <c r="O23" i="6"/>
  <c r="D21" i="17" s="1"/>
  <c r="O19" i="6"/>
  <c r="D17" i="17" s="1"/>
  <c r="O15" i="6"/>
  <c r="D13" i="17" s="1"/>
  <c r="O11" i="6"/>
  <c r="D9" i="17" s="1"/>
  <c r="O9" i="6"/>
  <c r="D7" i="17" s="1"/>
  <c r="C32" i="19" l="1"/>
  <c r="Q18" i="12"/>
  <c r="P48" i="17" s="1"/>
  <c r="Q28" i="12"/>
  <c r="P64" i="17" s="1"/>
  <c r="Q17" i="12"/>
  <c r="P47" i="17" s="1"/>
  <c r="Q29" i="12"/>
  <c r="P65" i="17" s="1"/>
  <c r="Q16" i="12"/>
  <c r="P46" i="17" s="1"/>
  <c r="Q26" i="12"/>
  <c r="P62" i="17" s="1"/>
  <c r="Q15" i="12"/>
  <c r="P42" i="17" s="1"/>
  <c r="Q23" i="12"/>
  <c r="P56" i="17" s="1"/>
  <c r="Q24" i="12"/>
  <c r="P60" i="17" s="1"/>
  <c r="Q25" i="12"/>
  <c r="P61" i="17" s="1"/>
  <c r="Q22" i="12"/>
  <c r="P55" i="17" s="1"/>
  <c r="Q21" i="12"/>
  <c r="P54" i="17" s="1"/>
  <c r="Q20" i="12"/>
  <c r="P50" i="17" s="1"/>
  <c r="Q19" i="12"/>
  <c r="P49" i="17" s="1"/>
  <c r="Q27" i="12"/>
  <c r="P63" i="17" s="1"/>
  <c r="Q14" i="12"/>
  <c r="P41" i="17" s="1"/>
</calcChain>
</file>

<file path=xl/sharedStrings.xml><?xml version="1.0" encoding="utf-8"?>
<sst xmlns="http://schemas.openxmlformats.org/spreadsheetml/2006/main" count="824" uniqueCount="249">
  <si>
    <t>Pengetahuan Salesman mengenai Produk</t>
  </si>
  <si>
    <t xml:space="preserve">Ketanggapan Salesman dalam membantu menyelesaikan Keluhan </t>
  </si>
  <si>
    <t>Kesediaan Salesman dalam membantu penyelesaian proses Retur barang</t>
  </si>
  <si>
    <t>Penampilan Pengirim Barang</t>
  </si>
  <si>
    <t>Kesesuaian antara pesanan dengan barang yang dikirim</t>
  </si>
  <si>
    <t>Kesesuaian Pengiriman Produk Suhu Khusus dengan CDOB</t>
  </si>
  <si>
    <t>Kelengkapan dokumen Penagihan</t>
  </si>
  <si>
    <t xml:space="preserve">Keramahan Petugas ECC pada saat terima Telepon </t>
  </si>
  <si>
    <t>Tahun</t>
  </si>
  <si>
    <t>Cabang</t>
  </si>
  <si>
    <t>Channel</t>
  </si>
  <si>
    <t>Nama outlet</t>
  </si>
  <si>
    <t>JK1</t>
  </si>
  <si>
    <t>Kuisioner Ke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</si>
  <si>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</si>
  <si>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</si>
  <si>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</si>
  <si>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</si>
  <si>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</si>
  <si>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</si>
  <si>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</si>
  <si>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</si>
  <si>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</si>
  <si>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</si>
  <si>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</si>
  <si>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</si>
  <si>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</si>
  <si>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</si>
  <si>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</si>
  <si>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</si>
  <si>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</si>
  <si>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</si>
  <si>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</si>
  <si>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</si>
  <si>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Nama Outlet</t>
  </si>
  <si>
    <t>List Channel</t>
  </si>
  <si>
    <t>List Cabang</t>
  </si>
  <si>
    <t>Nama Cabang</t>
  </si>
  <si>
    <t>Rumah Sakit</t>
  </si>
  <si>
    <t>Subdis</t>
  </si>
  <si>
    <t>BKS</t>
  </si>
  <si>
    <t>REKAP TINGKAT KEPUASAN PELANGGAN</t>
  </si>
  <si>
    <t xml:space="preserve">CABANG : </t>
  </si>
  <si>
    <t>NO.</t>
  </si>
  <si>
    <r>
      <t xml:space="preserve">TINGKAT KEPUASAN </t>
    </r>
    <r>
      <rPr>
        <b/>
        <i/>
        <sz val="10"/>
        <rFont val="Trebuchet MS"/>
        <family val="2"/>
      </rPr>
      <t>(PERFORMANCE)</t>
    </r>
  </si>
  <si>
    <r>
      <t xml:space="preserve">TINGKAT KEPENTINGAN </t>
    </r>
    <r>
      <rPr>
        <b/>
        <i/>
        <sz val="10"/>
        <rFont val="Trebuchet MS"/>
        <family val="2"/>
      </rPr>
      <t>(IMPORTANCE)</t>
    </r>
  </si>
  <si>
    <t>Diff</t>
  </si>
  <si>
    <t>IMPROVEMENT PRIORITY</t>
  </si>
  <si>
    <t>ASPEK YANG DI SURVEY</t>
  </si>
  <si>
    <t>NILAI</t>
  </si>
  <si>
    <t>POIN</t>
  </si>
  <si>
    <t>Imp -/- Perf</t>
  </si>
  <si>
    <t>Ketepatan waktu kunjungan salesman mengambil order</t>
  </si>
  <si>
    <t>Salesman Penampilan Rapih</t>
  </si>
  <si>
    <t>Kecepatan pelayanan Retur Barang</t>
  </si>
  <si>
    <t>Ketepatan waktu dalam pengiriman barang sesuai dengan janji</t>
  </si>
  <si>
    <t>Kejelasan dokumen Pngiriman</t>
  </si>
  <si>
    <t>Penampilan penagih</t>
  </si>
  <si>
    <t>Ketepatan Waktu Kunjungan Penagih</t>
  </si>
  <si>
    <t>Kemudahan untuk menghubungi nomor telepon Enseval Customer Care (ECC)</t>
  </si>
  <si>
    <t>Kecepatan petugas ECC dalam penerimaan Telepon</t>
  </si>
  <si>
    <t>Pemahaman/pengetahuan mengenai produk oleh petugas ECC</t>
  </si>
  <si>
    <t>Ketanggapan petugas ECC menerima keluhan pelanggan</t>
  </si>
  <si>
    <t>Kecepatan petugas ECC dalam memberi informasi dan memfollow up keluhan pelanggan</t>
  </si>
  <si>
    <t>Average</t>
  </si>
  <si>
    <t>Ave Cust. yg respon :</t>
  </si>
  <si>
    <t>Indeks Tingkat Kepuasan vs Tingkat Kepentingan :</t>
  </si>
  <si>
    <t>All</t>
  </si>
  <si>
    <t>List Pilihan Channe</t>
  </si>
  <si>
    <t>List Pilihan Kuisioner Ke</t>
  </si>
  <si>
    <t>BAC</t>
  </si>
  <si>
    <t>BDG</t>
  </si>
  <si>
    <t>BDL</t>
  </si>
  <si>
    <t>BGR</t>
  </si>
  <si>
    <t>BKL</t>
  </si>
  <si>
    <t>BMS</t>
  </si>
  <si>
    <t>BPP</t>
  </si>
  <si>
    <t>BTM</t>
  </si>
  <si>
    <t>CRB</t>
  </si>
  <si>
    <t>DPS</t>
  </si>
  <si>
    <t>JBI</t>
  </si>
  <si>
    <t>JBR</t>
  </si>
  <si>
    <t>JPU</t>
  </si>
  <si>
    <t>KDR</t>
  </si>
  <si>
    <t>KPG</t>
  </si>
  <si>
    <t>KDS</t>
  </si>
  <si>
    <t>LSE</t>
  </si>
  <si>
    <t>MDN</t>
  </si>
  <si>
    <t>MKS</t>
  </si>
  <si>
    <t>MNO</t>
  </si>
  <si>
    <t>MLG</t>
  </si>
  <si>
    <t>MTR</t>
  </si>
  <si>
    <t>PDG</t>
  </si>
  <si>
    <t>PJT</t>
  </si>
  <si>
    <t>PKB</t>
  </si>
  <si>
    <t>PKP</t>
  </si>
  <si>
    <t>PLB</t>
  </si>
  <si>
    <t>PLU</t>
  </si>
  <si>
    <t>PMS</t>
  </si>
  <si>
    <t>PTK</t>
  </si>
  <si>
    <t>PWK</t>
  </si>
  <si>
    <t>SB2</t>
  </si>
  <si>
    <t>SKI</t>
  </si>
  <si>
    <t>SLO</t>
  </si>
  <si>
    <t>SMD</t>
  </si>
  <si>
    <t>SMG</t>
  </si>
  <si>
    <t>TGL</t>
  </si>
  <si>
    <t>TGR</t>
  </si>
  <si>
    <t>TSK</t>
  </si>
  <si>
    <t>YOG</t>
  </si>
  <si>
    <t>S1</t>
  </si>
  <si>
    <t>S2</t>
  </si>
  <si>
    <t xml:space="preserve">JK2 </t>
  </si>
  <si>
    <t>Jakarta 2</t>
  </si>
  <si>
    <t>Medan</t>
  </si>
  <si>
    <t>Tangerang</t>
  </si>
  <si>
    <t>Pekanbaru</t>
  </si>
  <si>
    <t>Palembang</t>
  </si>
  <si>
    <t>Bandarlampumg</t>
  </si>
  <si>
    <t>Pematangsiantar</t>
  </si>
  <si>
    <t>Padang</t>
  </si>
  <si>
    <t>Batam</t>
  </si>
  <si>
    <t>Banda Aceh</t>
  </si>
  <si>
    <t>Jambi</t>
  </si>
  <si>
    <t>Pangkalpinang</t>
  </si>
  <si>
    <t>Bengkulu</t>
  </si>
  <si>
    <t>Lhokseumawe</t>
  </si>
  <si>
    <t>Pejaten</t>
  </si>
  <si>
    <t>Jakarta 1</t>
  </si>
  <si>
    <t>JK3</t>
  </si>
  <si>
    <t>Jakarta 3</t>
  </si>
  <si>
    <t>Bandung</t>
  </si>
  <si>
    <t>Semarang</t>
  </si>
  <si>
    <t>Bogor</t>
  </si>
  <si>
    <t>Yogyakarta</t>
  </si>
  <si>
    <t>Solo</t>
  </si>
  <si>
    <t>Cirebon</t>
  </si>
  <si>
    <t>Purwokerto</t>
  </si>
  <si>
    <t>Bekasi</t>
  </si>
  <si>
    <t>Kudus</t>
  </si>
  <si>
    <t>Tegal</t>
  </si>
  <si>
    <t>Tasikmalaya</t>
  </si>
  <si>
    <t>Sukabumi</t>
  </si>
  <si>
    <t>BD2</t>
  </si>
  <si>
    <t>Bandung 2</t>
  </si>
  <si>
    <t>SB1</t>
  </si>
  <si>
    <t>Surabaya 1</t>
  </si>
  <si>
    <t>Surabaya 2</t>
  </si>
  <si>
    <t>Banjarmasin</t>
  </si>
  <si>
    <t>Makasar</t>
  </si>
  <si>
    <t>Denpasar</t>
  </si>
  <si>
    <t>Kediri</t>
  </si>
  <si>
    <t>Malang</t>
  </si>
  <si>
    <t>Samarinda</t>
  </si>
  <si>
    <t>Pontianak</t>
  </si>
  <si>
    <t>Jember</t>
  </si>
  <si>
    <t>Menado</t>
  </si>
  <si>
    <t>Jayapura</t>
  </si>
  <si>
    <t>Mataram</t>
  </si>
  <si>
    <t>Balikpapan</t>
  </si>
  <si>
    <t>Kupang</t>
  </si>
  <si>
    <t>Palu</t>
  </si>
  <si>
    <t>Apotek</t>
  </si>
  <si>
    <t>Region</t>
  </si>
  <si>
    <t>Barat</t>
  </si>
  <si>
    <t>Tengah</t>
  </si>
  <si>
    <t>Timur</t>
  </si>
  <si>
    <t>Kelas</t>
  </si>
  <si>
    <t>A</t>
  </si>
  <si>
    <t>B</t>
  </si>
  <si>
    <t>C</t>
  </si>
  <si>
    <t>D</t>
  </si>
  <si>
    <t>JK2</t>
  </si>
  <si>
    <t>CabangSudah</t>
  </si>
  <si>
    <t>(All)</t>
  </si>
  <si>
    <t>Row Labels</t>
  </si>
  <si>
    <t>Grand Total</t>
  </si>
  <si>
    <t>Count of Nama Outlet</t>
  </si>
  <si>
    <t>Nasional</t>
  </si>
  <si>
    <t>Prioritas</t>
  </si>
  <si>
    <t>REKAP (KESELURUHAN)</t>
  </si>
  <si>
    <t>Pemesanan Melalui Salesman</t>
  </si>
  <si>
    <t>Penanganan Retur Barang</t>
  </si>
  <si>
    <t>Pengiriman Barang</t>
  </si>
  <si>
    <t>Penagihan</t>
  </si>
  <si>
    <t>ECC</t>
  </si>
  <si>
    <t>Priority per Kategoi</t>
  </si>
  <si>
    <t>Kategori</t>
  </si>
  <si>
    <t>Rekap Region</t>
  </si>
  <si>
    <t>Rekap Cabang</t>
  </si>
  <si>
    <t>Aspek yang Disurvei</t>
  </si>
  <si>
    <t>Priority</t>
  </si>
  <si>
    <t>Rekap Nasional</t>
  </si>
  <si>
    <t>Tabel Peralihan</t>
  </si>
  <si>
    <t>Rekap Nasional Per Kategori</t>
  </si>
  <si>
    <t>Rekap Region Per Kategori</t>
  </si>
  <si>
    <t>Rekap Cabang Per Kategori</t>
  </si>
  <si>
    <t>(blank)</t>
  </si>
  <si>
    <t>REKAP (Per Kategori)</t>
  </si>
  <si>
    <t>GRAFIK OUTLET yang DISURVEI</t>
  </si>
  <si>
    <t>munculin banyak cabang</t>
  </si>
  <si>
    <t>Count of Channel</t>
  </si>
  <si>
    <t>Other</t>
  </si>
  <si>
    <t>Jenis outlet yang disurvei untuk masing-masing jenis sebanyak</t>
  </si>
  <si>
    <t>Jumlah Cabang yang sudah melakukan survei sebanyak</t>
  </si>
  <si>
    <t>Laporan Nasional</t>
  </si>
  <si>
    <t xml:space="preserve">Indeks Kepuasan pelanggan secara nasional yang didapatkan adalah </t>
  </si>
  <si>
    <t>Berdasarkan hasil survei, secara Nasional pelanggan puas dengan Enseval dalam hal</t>
  </si>
  <si>
    <t>Berdasarkan hasil survei, secara Nasional aspek yang dianggap penting oleh pelanggan adalah</t>
  </si>
  <si>
    <t>Kepentingan</t>
  </si>
  <si>
    <t>Kepuasan</t>
  </si>
  <si>
    <t>Rank Kepuasan</t>
  </si>
  <si>
    <t>Rank Kepentingan</t>
  </si>
  <si>
    <t>Kepuasan/ Cat</t>
  </si>
  <si>
    <t>Kepentingan/ Cat</t>
  </si>
  <si>
    <t>Prioritas Improvement</t>
  </si>
  <si>
    <t>Berikut adalah masing-masing prioritas per kategori survei yang ada</t>
  </si>
  <si>
    <t>Penaganan Retur Barang</t>
  </si>
  <si>
    <t>Laporan per Region</t>
  </si>
  <si>
    <t>(Multiple Items)</t>
  </si>
  <si>
    <t>Laporan per Cabang</t>
  </si>
  <si>
    <t>Berdasarkan hasil survei, secara Region pelanggan puas dengan Enseval dalam hal</t>
  </si>
  <si>
    <t>Secara Region aspek yang dianggap penting oleh pelanggan adalah</t>
  </si>
  <si>
    <t>Namun, untuk poin yang menjadi prioritas Region untuk diimprove dari keseluruhan  adalah</t>
  </si>
  <si>
    <t>Namun, untuk poin yang menjadi prioritas Cabang untuk diimprove dari keseluruhan  adalah</t>
  </si>
  <si>
    <t>Berdasarkan hasil survei, secara Cabang pelanggan puas dengan Enseval dalam hal</t>
  </si>
  <si>
    <t>LAPORAN PER KATEGORI</t>
  </si>
  <si>
    <t>IMPROVEMENT PRIORITY DARI SELURUH ASPEK</t>
  </si>
  <si>
    <t>POIN YANG DIANGGAP PALING MEMUASKAN</t>
  </si>
  <si>
    <t>POIN YANG DIANGGAP PALING PENTING</t>
  </si>
  <si>
    <t>Indeks Tingkat Kepuasan vs Tingkat Kepentingan</t>
  </si>
  <si>
    <t>ASPEK YANG DIANGGAP PALING MEMUASKAN OLEH PELANGGAN</t>
  </si>
  <si>
    <t>ASPEK YANG DIANGGAP PALING PENTING OLEH PELANGGAN</t>
  </si>
  <si>
    <t>Aspek yang dianggap paling memuaskan</t>
  </si>
  <si>
    <t>Aspek yang dianggap paling penting</t>
  </si>
  <si>
    <t>Untuk aspek yang menjadi prioritas untuk diimprove dari keseluruhan poin adalah</t>
  </si>
  <si>
    <t>ASPEK YANG MASIH PERLU DITINGKATKAN</t>
  </si>
  <si>
    <t>PRIORITAS ASPEK PER KATEGORI</t>
  </si>
  <si>
    <t>Berdasarkan hasil survei, secara Cabang aspek yang dianggap penting oleh pelanggan adalah</t>
  </si>
  <si>
    <t>REKAP TINGKAT KEPUASAN PELANGGAN PERCABANG</t>
  </si>
  <si>
    <t>Pilih Periode Survei   :</t>
  </si>
  <si>
    <t>Pilih Channel             :</t>
  </si>
  <si>
    <t xml:space="preserve">Pilih Region               : </t>
  </si>
  <si>
    <t xml:space="preserve">Pilih Cabang               : </t>
  </si>
  <si>
    <t>Jumlah cabang yang sudah melakukan survei sebanyak</t>
  </si>
  <si>
    <t>Jenis outlet yang disurvei untuk masing-masing sebanyak</t>
  </si>
  <si>
    <t xml:space="preserve">Data Kepuasan </t>
  </si>
  <si>
    <t>Data Kepentingan</t>
  </si>
  <si>
    <t>Database Pusat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</si>
</sst>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_);_(* \(#,##0.0\);_(* &quot;-&quot;??_);_(@_)"/>
    <numFmt numFmtId="165" formatCode="#\ &quot;cabang&quot;"/>
    <numFmt numFmtId="166" formatCode="#.00\ &quot;%&quot;"/>
  </numFmts>
  <fonts count="6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20"/>
      <name val="Trebuchet MS"/>
      <family val="2"/>
    </font>
    <font>
      <sz val="10"/>
      <name val="Trebuchet MS"/>
      <family val="2"/>
    </font>
    <font>
      <b/>
      <sz val="22"/>
      <name val="Trebuchet MS"/>
      <family val="2"/>
    </font>
    <font>
      <b/>
      <sz val="18"/>
      <color indexed="12"/>
      <name val="Trebuchet MS"/>
      <family val="2"/>
    </font>
    <font>
      <sz val="14"/>
      <name val="Trebuchet MS"/>
      <family val="2"/>
    </font>
    <font>
      <b/>
      <sz val="10"/>
      <name val="Trebuchet MS"/>
      <family val="2"/>
    </font>
    <font>
      <b/>
      <i/>
      <sz val="10"/>
      <name val="Trebuchet MS"/>
      <family val="2"/>
    </font>
    <font>
      <sz val="10"/>
      <color indexed="22"/>
      <name val="Trebuchet MS"/>
      <family val="2"/>
    </font>
    <font>
      <b/>
      <sz val="12"/>
      <color indexed="16"/>
      <name val="Trebuchet MS"/>
      <family val="2"/>
    </font>
    <font>
      <b/>
      <sz val="16"/>
      <color indexed="9"/>
      <name val="Trebuchet MS"/>
      <family val="2"/>
    </font>
    <font>
      <b/>
      <sz val="18"/>
      <color indexed="9"/>
      <name val="Trebuchet MS"/>
      <family val="2"/>
    </font>
    <font>
      <b/>
      <sz val="16"/>
      <color indexed="12"/>
      <name val="Arial Black"/>
      <family val="2"/>
    </font>
    <font>
      <sz val="16"/>
      <name val="Arial Black"/>
      <family val="2"/>
    </font>
    <font>
      <sz val="10"/>
      <name val="Arial"/>
      <family val="2"/>
    </font>
    <font>
      <sz val="20"/>
      <color rgb="FFFF0000"/>
      <name val="Times New Roman"/>
      <family val="1"/>
    </font>
    <font>
      <b/>
      <sz val="12"/>
      <color theme="0"/>
      <name val="Trebuchet MS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3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8"/>
      <color indexed="56"/>
      <name val="Cambria"/>
      <family val="1"/>
    </font>
    <font>
      <b/>
      <sz val="11"/>
      <color indexed="52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charset val="1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rgb="FF0066FF"/>
      <name val="Calibri"/>
      <family val="2"/>
      <scheme val="minor"/>
    </font>
    <font>
      <sz val="24"/>
      <color rgb="FF00FF00"/>
      <name val="Calibri"/>
      <family val="2"/>
      <scheme val="minor"/>
    </font>
    <font>
      <sz val="24"/>
      <color rgb="FFFF9900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rgb="FFFF9900"/>
      <name val="Calibri"/>
      <family val="2"/>
      <scheme val="minor"/>
    </font>
    <font>
      <sz val="18"/>
      <color rgb="FF0066FF"/>
      <name val="Calibri"/>
      <family val="2"/>
      <scheme val="minor"/>
    </font>
    <font>
      <sz val="18"/>
      <color rgb="FF00FF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Trebuchet MS"/>
      <family val="2"/>
    </font>
    <font>
      <b/>
      <sz val="16"/>
      <color theme="1"/>
      <name val="Arial Black"/>
      <family val="2"/>
    </font>
    <font>
      <b/>
      <sz val="20"/>
      <color theme="1"/>
      <name val="Times New Roman"/>
      <family val="1"/>
    </font>
    <font>
      <sz val="16"/>
      <color theme="1"/>
      <name val="Arial Black"/>
      <family val="2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name val="Calibri"/>
      <family val="2"/>
      <charset val="1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91">
    <xf numFmtId="0" fontId="0" fillId="0" borderId="0"/>
    <xf numFmtId="43" fontId="5" fillId="0" borderId="0" applyFont="0" applyFill="0" applyBorder="0" applyAlignment="0" applyProtection="0"/>
    <xf numFmtId="0" fontId="19" fillId="0" borderId="0"/>
    <xf numFmtId="0" fontId="2" fillId="0" borderId="0"/>
    <xf numFmtId="0" fontId="23" fillId="0" borderId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9" borderId="0" applyNumberFormat="0" applyBorder="0" applyAlignment="0" applyProtection="0"/>
    <xf numFmtId="0" fontId="40" fillId="16" borderId="0" applyNumberFormat="0" applyBorder="0" applyAlignment="0" applyProtection="0"/>
    <xf numFmtId="0" fontId="40" fillId="19" borderId="0" applyNumberFormat="0" applyBorder="0" applyAlignment="0" applyProtection="0"/>
    <xf numFmtId="0" fontId="40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0" borderId="0" applyNumberFormat="0" applyBorder="0" applyAlignment="0" applyProtection="0"/>
    <xf numFmtId="0" fontId="39" fillId="9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6" borderId="0" applyNumberFormat="0" applyBorder="0" applyAlignment="0" applyProtection="0"/>
    <xf numFmtId="0" fontId="39" fillId="27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8" borderId="0" applyNumberFormat="0" applyBorder="0" applyAlignment="0" applyProtection="0"/>
    <xf numFmtId="0" fontId="24" fillId="14" borderId="0" applyNumberFormat="0" applyBorder="0" applyAlignment="0" applyProtection="0"/>
    <xf numFmtId="0" fontId="34" fillId="7" borderId="23" applyNumberFormat="0" applyAlignment="0" applyProtection="0"/>
    <xf numFmtId="0" fontId="38" fillId="29" borderId="24" applyNumberFormat="0" applyAlignment="0" applyProtection="0"/>
    <xf numFmtId="0" fontId="37" fillId="0" borderId="0" applyNumberFormat="0" applyFill="0" applyBorder="0" applyAlignment="0" applyProtection="0"/>
    <xf numFmtId="0" fontId="32" fillId="15" borderId="0" applyNumberFormat="0" applyBorder="0" applyAlignment="0" applyProtection="0"/>
    <xf numFmtId="0" fontId="36" fillId="0" borderId="25" applyNumberFormat="0" applyFill="0" applyAlignment="0" applyProtection="0"/>
    <xf numFmtId="0" fontId="25" fillId="0" borderId="26" applyNumberFormat="0" applyFill="0" applyAlignment="0" applyProtection="0"/>
    <xf numFmtId="0" fontId="30" fillId="0" borderId="27" applyNumberFormat="0" applyFill="0" applyAlignment="0" applyProtection="0"/>
    <xf numFmtId="0" fontId="30" fillId="0" borderId="0" applyNumberFormat="0" applyFill="0" applyBorder="0" applyAlignment="0" applyProtection="0"/>
    <xf numFmtId="0" fontId="28" fillId="18" borderId="23" applyNumberFormat="0" applyAlignment="0" applyProtection="0"/>
    <xf numFmtId="0" fontId="26" fillId="0" borderId="28" applyNumberFormat="0" applyFill="0" applyAlignment="0" applyProtection="0"/>
    <xf numFmtId="0" fontId="31" fillId="30" borderId="0" applyNumberFormat="0" applyBorder="0" applyAlignment="0" applyProtection="0"/>
    <xf numFmtId="0" fontId="40" fillId="31" borderId="29" applyNumberFormat="0" applyFont="0" applyAlignment="0" applyProtection="0"/>
    <xf numFmtId="0" fontId="29" fillId="7" borderId="30" applyNumberFormat="0" applyAlignment="0" applyProtection="0"/>
    <xf numFmtId="0" fontId="33" fillId="0" borderId="0" applyNumberFormat="0" applyFill="0" applyBorder="0" applyAlignment="0" applyProtection="0"/>
    <xf numFmtId="0" fontId="35" fillId="0" borderId="31" applyNumberFormat="0" applyFill="0" applyAlignment="0" applyProtection="0"/>
    <xf numFmtId="0" fontId="27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42" fillId="0" borderId="0"/>
    <xf numFmtId="0" fontId="2" fillId="0" borderId="0"/>
    <xf numFmtId="43" fontId="2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2" fillId="0" borderId="0"/>
    <xf numFmtId="0" fontId="2" fillId="0" borderId="0"/>
    <xf numFmtId="0" fontId="2" fillId="0" borderId="0"/>
    <xf numFmtId="0" fontId="41" fillId="0" borderId="0"/>
    <xf numFmtId="0" fontId="23" fillId="0" borderId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9" borderId="0" applyNumberFormat="0" applyBorder="0" applyAlignment="0" applyProtection="0"/>
    <xf numFmtId="0" fontId="40" fillId="16" borderId="0" applyNumberFormat="0" applyBorder="0" applyAlignment="0" applyProtection="0"/>
    <xf numFmtId="0" fontId="40" fillId="19" borderId="0" applyNumberFormat="0" applyBorder="0" applyAlignment="0" applyProtection="0"/>
    <xf numFmtId="0" fontId="40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0" borderId="0" applyNumberFormat="0" applyBorder="0" applyAlignment="0" applyProtection="0"/>
    <xf numFmtId="0" fontId="39" fillId="9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6" borderId="0" applyNumberFormat="0" applyBorder="0" applyAlignment="0" applyProtection="0"/>
    <xf numFmtId="0" fontId="39" fillId="27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8" borderId="0" applyNumberFormat="0" applyBorder="0" applyAlignment="0" applyProtection="0"/>
    <xf numFmtId="0" fontId="24" fillId="14" borderId="0" applyNumberFormat="0" applyBorder="0" applyAlignment="0" applyProtection="0"/>
    <xf numFmtId="0" fontId="34" fillId="7" borderId="23" applyNumberFormat="0" applyAlignment="0" applyProtection="0"/>
    <xf numFmtId="0" fontId="38" fillId="29" borderId="24" applyNumberFormat="0" applyAlignment="0" applyProtection="0"/>
    <xf numFmtId="0" fontId="37" fillId="0" borderId="0" applyNumberFormat="0" applyFill="0" applyBorder="0" applyAlignment="0" applyProtection="0"/>
    <xf numFmtId="0" fontId="32" fillId="15" borderId="0" applyNumberFormat="0" applyBorder="0" applyAlignment="0" applyProtection="0"/>
    <xf numFmtId="0" fontId="36" fillId="0" borderId="25" applyNumberFormat="0" applyFill="0" applyAlignment="0" applyProtection="0"/>
    <xf numFmtId="0" fontId="25" fillId="0" borderId="26" applyNumberFormat="0" applyFill="0" applyAlignment="0" applyProtection="0"/>
    <xf numFmtId="0" fontId="30" fillId="0" borderId="27" applyNumberFormat="0" applyFill="0" applyAlignment="0" applyProtection="0"/>
    <xf numFmtId="0" fontId="30" fillId="0" borderId="0" applyNumberFormat="0" applyFill="0" applyBorder="0" applyAlignment="0" applyProtection="0"/>
    <xf numFmtId="0" fontId="28" fillId="18" borderId="23" applyNumberFormat="0" applyAlignment="0" applyProtection="0"/>
    <xf numFmtId="0" fontId="26" fillId="0" borderId="28" applyNumberFormat="0" applyFill="0" applyAlignment="0" applyProtection="0"/>
    <xf numFmtId="0" fontId="31" fillId="30" borderId="0" applyNumberFormat="0" applyBorder="0" applyAlignment="0" applyProtection="0"/>
    <xf numFmtId="0" fontId="40" fillId="31" borderId="29" applyNumberFormat="0" applyFont="0" applyAlignment="0" applyProtection="0"/>
    <xf numFmtId="0" fontId="29" fillId="7" borderId="30" applyNumberFormat="0" applyAlignment="0" applyProtection="0"/>
    <xf numFmtId="0" fontId="33" fillId="0" borderId="0" applyNumberFormat="0" applyFill="0" applyBorder="0" applyAlignment="0" applyProtection="0"/>
    <xf numFmtId="0" fontId="35" fillId="0" borderId="31" applyNumberFormat="0" applyFill="0" applyAlignment="0" applyProtection="0"/>
    <xf numFmtId="0" fontId="27" fillId="0" borderId="0" applyNumberFormat="0" applyFill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9" borderId="0" applyNumberFormat="0" applyBorder="0" applyAlignment="0" applyProtection="0"/>
    <xf numFmtId="0" fontId="40" fillId="16" borderId="0" applyNumberFormat="0" applyBorder="0" applyAlignment="0" applyProtection="0"/>
    <xf numFmtId="0" fontId="40" fillId="19" borderId="0" applyNumberFormat="0" applyBorder="0" applyAlignment="0" applyProtection="0"/>
    <xf numFmtId="0" fontId="40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0" borderId="0" applyNumberFormat="0" applyBorder="0" applyAlignment="0" applyProtection="0"/>
    <xf numFmtId="0" fontId="39" fillId="9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6" borderId="0" applyNumberFormat="0" applyBorder="0" applyAlignment="0" applyProtection="0"/>
    <xf numFmtId="0" fontId="39" fillId="27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8" borderId="0" applyNumberFormat="0" applyBorder="0" applyAlignment="0" applyProtection="0"/>
    <xf numFmtId="0" fontId="24" fillId="14" borderId="0" applyNumberFormat="0" applyBorder="0" applyAlignment="0" applyProtection="0"/>
    <xf numFmtId="0" fontId="34" fillId="7" borderId="23" applyNumberFormat="0" applyAlignment="0" applyProtection="0"/>
    <xf numFmtId="0" fontId="38" fillId="29" borderId="24" applyNumberFormat="0" applyAlignment="0" applyProtection="0"/>
    <xf numFmtId="0" fontId="37" fillId="0" borderId="0" applyNumberFormat="0" applyFill="0" applyBorder="0" applyAlignment="0" applyProtection="0"/>
    <xf numFmtId="0" fontId="32" fillId="15" borderId="0" applyNumberFormat="0" applyBorder="0" applyAlignment="0" applyProtection="0"/>
    <xf numFmtId="0" fontId="36" fillId="0" borderId="25" applyNumberFormat="0" applyFill="0" applyAlignment="0" applyProtection="0"/>
    <xf numFmtId="0" fontId="25" fillId="0" borderId="26" applyNumberFormat="0" applyFill="0" applyAlignment="0" applyProtection="0"/>
    <xf numFmtId="0" fontId="30" fillId="0" borderId="27" applyNumberFormat="0" applyFill="0" applyAlignment="0" applyProtection="0"/>
    <xf numFmtId="0" fontId="30" fillId="0" borderId="0" applyNumberFormat="0" applyFill="0" applyBorder="0" applyAlignment="0" applyProtection="0"/>
    <xf numFmtId="0" fontId="28" fillId="18" borderId="23" applyNumberFormat="0" applyAlignment="0" applyProtection="0"/>
    <xf numFmtId="0" fontId="26" fillId="0" borderId="28" applyNumberFormat="0" applyFill="0" applyAlignment="0" applyProtection="0"/>
    <xf numFmtId="0" fontId="31" fillId="30" borderId="0" applyNumberFormat="0" applyBorder="0" applyAlignment="0" applyProtection="0"/>
    <xf numFmtId="0" fontId="40" fillId="31" borderId="29" applyNumberFormat="0" applyFont="0" applyAlignment="0" applyProtection="0"/>
    <xf numFmtId="0" fontId="29" fillId="7" borderId="30" applyNumberFormat="0" applyAlignment="0" applyProtection="0"/>
    <xf numFmtId="0" fontId="33" fillId="0" borderId="0" applyNumberFormat="0" applyFill="0" applyBorder="0" applyAlignment="0" applyProtection="0"/>
    <xf numFmtId="0" fontId="35" fillId="0" borderId="31" applyNumberFormat="0" applyFill="0" applyAlignment="0" applyProtection="0"/>
    <xf numFmtId="0" fontId="27" fillId="0" borderId="0" applyNumberFormat="0" applyFill="0" applyBorder="0" applyAlignment="0" applyProtection="0"/>
    <xf numFmtId="0" fontId="40" fillId="0" borderId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9" borderId="0" applyNumberFormat="0" applyBorder="0" applyAlignment="0" applyProtection="0"/>
    <xf numFmtId="0" fontId="40" fillId="16" borderId="0" applyNumberFormat="0" applyBorder="0" applyAlignment="0" applyProtection="0"/>
    <xf numFmtId="0" fontId="40" fillId="19" borderId="0" applyNumberFormat="0" applyBorder="0" applyAlignment="0" applyProtection="0"/>
    <xf numFmtId="0" fontId="40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0" borderId="0" applyNumberFormat="0" applyBorder="0" applyAlignment="0" applyProtection="0"/>
    <xf numFmtId="0" fontId="39" fillId="9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6" borderId="0" applyNumberFormat="0" applyBorder="0" applyAlignment="0" applyProtection="0"/>
    <xf numFmtId="0" fontId="39" fillId="27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8" borderId="0" applyNumberFormat="0" applyBorder="0" applyAlignment="0" applyProtection="0"/>
    <xf numFmtId="0" fontId="24" fillId="14" borderId="0" applyNumberFormat="0" applyBorder="0" applyAlignment="0" applyProtection="0"/>
    <xf numFmtId="0" fontId="34" fillId="7" borderId="23" applyNumberFormat="0" applyAlignment="0" applyProtection="0"/>
    <xf numFmtId="0" fontId="38" fillId="29" borderId="24" applyNumberFormat="0" applyAlignment="0" applyProtection="0"/>
    <xf numFmtId="0" fontId="37" fillId="0" borderId="0" applyNumberFormat="0" applyFill="0" applyBorder="0" applyAlignment="0" applyProtection="0"/>
    <xf numFmtId="0" fontId="32" fillId="15" borderId="0" applyNumberFormat="0" applyBorder="0" applyAlignment="0" applyProtection="0"/>
    <xf numFmtId="0" fontId="36" fillId="0" borderId="25" applyNumberFormat="0" applyFill="0" applyAlignment="0" applyProtection="0"/>
    <xf numFmtId="0" fontId="25" fillId="0" borderId="26" applyNumberFormat="0" applyFill="0" applyAlignment="0" applyProtection="0"/>
    <xf numFmtId="0" fontId="30" fillId="0" borderId="27" applyNumberFormat="0" applyFill="0" applyAlignment="0" applyProtection="0"/>
    <xf numFmtId="0" fontId="30" fillId="0" borderId="0" applyNumberFormat="0" applyFill="0" applyBorder="0" applyAlignment="0" applyProtection="0"/>
    <xf numFmtId="0" fontId="28" fillId="18" borderId="23" applyNumberFormat="0" applyAlignment="0" applyProtection="0"/>
    <xf numFmtId="0" fontId="26" fillId="0" borderId="28" applyNumberFormat="0" applyFill="0" applyAlignment="0" applyProtection="0"/>
    <xf numFmtId="0" fontId="31" fillId="30" borderId="0" applyNumberFormat="0" applyBorder="0" applyAlignment="0" applyProtection="0"/>
    <xf numFmtId="0" fontId="40" fillId="31" borderId="29" applyNumberFormat="0" applyFont="0" applyAlignment="0" applyProtection="0"/>
    <xf numFmtId="0" fontId="29" fillId="7" borderId="30" applyNumberFormat="0" applyAlignment="0" applyProtection="0"/>
    <xf numFmtId="0" fontId="33" fillId="0" borderId="0" applyNumberFormat="0" applyFill="0" applyBorder="0" applyAlignment="0" applyProtection="0"/>
    <xf numFmtId="0" fontId="35" fillId="0" borderId="31" applyNumberFormat="0" applyFill="0" applyAlignment="0" applyProtection="0"/>
    <xf numFmtId="0" fontId="27" fillId="0" borderId="0" applyNumberFormat="0" applyFill="0" applyBorder="0" applyAlignment="0" applyProtection="0"/>
    <xf numFmtId="0" fontId="2" fillId="0" borderId="0"/>
    <xf numFmtId="0" fontId="41" fillId="0" borderId="0"/>
    <xf numFmtId="0" fontId="41" fillId="0" borderId="0"/>
    <xf numFmtId="0" fontId="41" fillId="0" borderId="0"/>
    <xf numFmtId="0" fontId="41" fillId="0" borderId="0"/>
  </cellStyleXfs>
  <cellXfs count="335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3" borderId="0" xfId="0" applyFont="1" applyFill="1"/>
    <xf numFmtId="0" fontId="10" fillId="0" borderId="0" xfId="0" applyFont="1" applyBorder="1" applyAlignment="1">
      <alignment horizontal="center" vertical="top"/>
    </xf>
    <xf numFmtId="0" fontId="11" fillId="0" borderId="1" xfId="0" applyFont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7" fillId="0" borderId="0" xfId="0" applyFont="1" applyAlignment="1"/>
    <xf numFmtId="0" fontId="7" fillId="0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2" borderId="1" xfId="0" applyFont="1" applyFill="1" applyBorder="1"/>
    <xf numFmtId="164" fontId="11" fillId="8" borderId="1" xfId="1" applyNumberFormat="1" applyFont="1" applyFill="1" applyBorder="1" applyAlignment="1">
      <alignment horizontal="center"/>
    </xf>
    <xf numFmtId="0" fontId="7" fillId="3" borderId="1" xfId="0" applyFont="1" applyFill="1" applyBorder="1"/>
    <xf numFmtId="0" fontId="7" fillId="7" borderId="1" xfId="0" applyFont="1" applyFill="1" applyBorder="1" applyAlignment="1"/>
    <xf numFmtId="0" fontId="7" fillId="7" borderId="1" xfId="0" applyFont="1" applyFill="1" applyBorder="1" applyAlignment="1">
      <alignment horizontal="center"/>
    </xf>
    <xf numFmtId="2" fontId="14" fillId="10" borderId="1" xfId="0" applyNumberFormat="1" applyFont="1" applyFill="1" applyBorder="1" applyAlignment="1">
      <alignment horizontal="center"/>
    </xf>
    <xf numFmtId="0" fontId="15" fillId="6" borderId="14" xfId="0" applyFont="1" applyFill="1" applyBorder="1" applyAlignment="1">
      <alignment horizontal="left"/>
    </xf>
    <xf numFmtId="2" fontId="16" fillId="6" borderId="15" xfId="1" applyNumberFormat="1" applyFont="1" applyFill="1" applyBorder="1" applyAlignment="1"/>
    <xf numFmtId="2" fontId="16" fillId="6" borderId="16" xfId="1" applyNumberFormat="1" applyFont="1" applyFill="1" applyBorder="1" applyAlignment="1"/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NumberFormat="1" applyBorder="1" applyAlignment="1">
      <alignment horizontal="center"/>
    </xf>
    <xf numFmtId="0" fontId="11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12" borderId="0" xfId="0" applyFont="1" applyFill="1" applyBorder="1" applyAlignment="1">
      <alignment vertical="center" wrapText="1"/>
    </xf>
    <xf numFmtId="0" fontId="20" fillId="12" borderId="0" xfId="0" applyFont="1" applyFill="1" applyBorder="1" applyAlignment="1">
      <alignment wrapText="1"/>
    </xf>
    <xf numFmtId="0" fontId="0" fillId="12" borderId="0" xfId="0" applyFill="1"/>
    <xf numFmtId="0" fontId="0" fillId="11" borderId="0" xfId="0" applyFill="1"/>
    <xf numFmtId="164" fontId="7" fillId="7" borderId="1" xfId="0" applyNumberFormat="1" applyFont="1" applyFill="1" applyBorder="1" applyAlignment="1">
      <alignment horizontal="center"/>
    </xf>
    <xf numFmtId="1" fontId="7" fillId="0" borderId="1" xfId="0" applyNumberFormat="1" applyFont="1" applyFill="1" applyBorder="1" applyAlignment="1">
      <alignment horizontal="center"/>
    </xf>
    <xf numFmtId="0" fontId="21" fillId="6" borderId="1" xfId="0" applyFont="1" applyFill="1" applyBorder="1" applyAlignment="1">
      <alignment horizontal="center"/>
    </xf>
    <xf numFmtId="0" fontId="22" fillId="0" borderId="1" xfId="0" applyFont="1" applyBorder="1"/>
    <xf numFmtId="0" fontId="22" fillId="2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2" fillId="0" borderId="1" xfId="48" applyBorder="1" applyAlignment="1">
      <alignment horizontal="center"/>
    </xf>
    <xf numFmtId="0" fontId="41" fillId="0" borderId="1" xfId="53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1" fillId="0" borderId="1" xfId="54" applyBorder="1" applyAlignment="1">
      <alignment horizontal="center"/>
    </xf>
    <xf numFmtId="0" fontId="41" fillId="0" borderId="1" xfId="54" applyBorder="1" applyAlignment="1">
      <alignment horizontal="center" vertical="center"/>
    </xf>
    <xf numFmtId="0" fontId="23" fillId="0" borderId="1" xfId="4" applyNumberFormat="1" applyFont="1" applyFill="1" applyBorder="1" applyAlignment="1">
      <alignment horizontal="center" vertical="center"/>
    </xf>
    <xf numFmtId="0" fontId="23" fillId="0" borderId="1" xfId="4" applyNumberFormat="1" applyFill="1" applyBorder="1" applyAlignment="1">
      <alignment horizontal="center" vertical="center"/>
    </xf>
    <xf numFmtId="0" fontId="23" fillId="0" borderId="1" xfId="4" applyFill="1" applyBorder="1" applyAlignment="1">
      <alignment horizontal="center"/>
    </xf>
    <xf numFmtId="0" fontId="23" fillId="0" borderId="1" xfId="61" applyNumberFormat="1" applyFont="1" applyFill="1" applyBorder="1" applyAlignment="1">
      <alignment horizontal="center" vertical="center"/>
    </xf>
    <xf numFmtId="0" fontId="23" fillId="0" borderId="1" xfId="61" applyFill="1" applyBorder="1" applyAlignment="1">
      <alignment horizontal="center"/>
    </xf>
    <xf numFmtId="0" fontId="40" fillId="0" borderId="1" xfId="144" applyFill="1" applyBorder="1" applyAlignment="1">
      <alignment horizontal="center"/>
    </xf>
    <xf numFmtId="0" fontId="41" fillId="0" borderId="1" xfId="55" applyBorder="1" applyAlignment="1">
      <alignment horizontal="center"/>
    </xf>
    <xf numFmtId="0" fontId="41" fillId="0" borderId="1" xfId="55" applyBorder="1" applyAlignment="1">
      <alignment horizontal="center" vertical="center"/>
    </xf>
    <xf numFmtId="0" fontId="41" fillId="0" borderId="1" xfId="188" applyFont="1" applyFill="1" applyBorder="1" applyAlignment="1">
      <alignment horizontal="center"/>
    </xf>
    <xf numFmtId="0" fontId="1" fillId="0" borderId="1" xfId="188" applyFont="1" applyFill="1" applyBorder="1" applyAlignment="1">
      <alignment horizontal="center"/>
    </xf>
    <xf numFmtId="0" fontId="5" fillId="0" borderId="1" xfId="188" applyFont="1" applyFill="1" applyBorder="1" applyAlignment="1">
      <alignment horizontal="center"/>
    </xf>
    <xf numFmtId="0" fontId="41" fillId="0" borderId="1" xfId="189" applyFill="1" applyBorder="1" applyAlignment="1">
      <alignment horizontal="center"/>
    </xf>
    <xf numFmtId="0" fontId="41" fillId="0" borderId="1" xfId="189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1" fillId="0" borderId="1" xfId="190" applyBorder="1" applyAlignment="1">
      <alignment horizontal="center"/>
    </xf>
    <xf numFmtId="0" fontId="41" fillId="2" borderId="1" xfId="190" applyFill="1" applyBorder="1" applyAlignment="1">
      <alignment horizontal="center"/>
    </xf>
    <xf numFmtId="164" fontId="11" fillId="8" borderId="1" xfId="1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44" fillId="0" borderId="0" xfId="0" applyFont="1" applyAlignment="1">
      <alignment vertical="center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left" vertical="center"/>
    </xf>
    <xf numFmtId="0" fontId="0" fillId="0" borderId="0" xfId="0" applyNumberFormat="1" applyAlignment="1">
      <alignment horizontal="center"/>
    </xf>
    <xf numFmtId="0" fontId="21" fillId="6" borderId="2" xfId="0" applyFont="1" applyFill="1" applyBorder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54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1" fillId="0" borderId="0" xfId="0" applyNumberFormat="1" applyFont="1" applyAlignment="1">
      <alignment horizontal="center" vertical="center"/>
    </xf>
    <xf numFmtId="0" fontId="55" fillId="0" borderId="0" xfId="0" applyFont="1" applyAlignment="1"/>
    <xf numFmtId="0" fontId="0" fillId="0" borderId="6" xfId="0" applyBorder="1"/>
    <xf numFmtId="0" fontId="7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55" fillId="0" borderId="0" xfId="0" applyFont="1" applyAlignment="1">
      <alignment vertical="center"/>
    </xf>
    <xf numFmtId="0" fontId="55" fillId="0" borderId="0" xfId="0" applyFont="1" applyAlignment="1">
      <alignment vertical="center" wrapText="1"/>
    </xf>
    <xf numFmtId="0" fontId="0" fillId="0" borderId="0" xfId="0" applyNumberFormat="1"/>
    <xf numFmtId="0" fontId="0" fillId="0" borderId="9" xfId="0" applyBorder="1"/>
    <xf numFmtId="0" fontId="1" fillId="0" borderId="9" xfId="0" applyFont="1" applyBorder="1"/>
    <xf numFmtId="0" fontId="55" fillId="0" borderId="9" xfId="0" applyFont="1" applyBorder="1" applyAlignment="1"/>
    <xf numFmtId="0" fontId="1" fillId="40" borderId="0" xfId="0" applyFont="1" applyFill="1"/>
    <xf numFmtId="0" fontId="1" fillId="0" borderId="0" xfId="0" applyFont="1" applyFill="1" applyBorder="1" applyAlignment="1">
      <alignment horizontal="center"/>
    </xf>
    <xf numFmtId="0" fontId="57" fillId="0" borderId="0" xfId="0" applyFont="1" applyAlignment="1">
      <alignment vertical="center"/>
    </xf>
    <xf numFmtId="0" fontId="2" fillId="42" borderId="1" xfId="3" applyFont="1" applyFill="1" applyBorder="1" applyAlignment="1" applyProtection="1">
      <alignment horizontal="center"/>
      <protection locked="0"/>
    </xf>
    <xf numFmtId="0" fontId="2" fillId="42" borderId="1" xfId="3" applyFont="1" applyFill="1" applyBorder="1" applyAlignment="1">
      <alignment horizontal="center" vertical="center"/>
    </xf>
    <xf numFmtId="0" fontId="2" fillId="42" borderId="1" xfId="3" applyFont="1" applyFill="1" applyBorder="1" applyAlignment="1">
      <alignment horizontal="center"/>
    </xf>
    <xf numFmtId="0" fontId="2" fillId="42" borderId="1" xfId="3" applyFont="1" applyFill="1" applyBorder="1" applyAlignment="1" applyProtection="1">
      <alignment horizontal="center"/>
    </xf>
    <xf numFmtId="0" fontId="2" fillId="11" borderId="1" xfId="3" applyFont="1" applyFill="1" applyBorder="1" applyAlignment="1">
      <alignment horizontal="center"/>
    </xf>
    <xf numFmtId="0" fontId="2" fillId="44" borderId="1" xfId="3" applyFont="1" applyFill="1" applyBorder="1" applyAlignment="1" applyProtection="1">
      <alignment horizontal="center"/>
      <protection locked="0"/>
    </xf>
    <xf numFmtId="0" fontId="2" fillId="44" borderId="1" xfId="3" applyFont="1" applyFill="1" applyBorder="1" applyAlignment="1">
      <alignment horizontal="center"/>
    </xf>
    <xf numFmtId="0" fontId="2" fillId="44" borderId="1" xfId="3" applyFont="1" applyFill="1" applyBorder="1" applyAlignment="1" applyProtection="1">
      <alignment horizontal="center"/>
    </xf>
    <xf numFmtId="0" fontId="1" fillId="11" borderId="1" xfId="0" applyFont="1" applyFill="1" applyBorder="1" applyAlignment="1">
      <alignment horizontal="center"/>
    </xf>
    <xf numFmtId="0" fontId="1" fillId="42" borderId="1" xfId="0" applyFont="1" applyFill="1" applyBorder="1" applyAlignment="1">
      <alignment horizontal="center"/>
    </xf>
    <xf numFmtId="0" fontId="0" fillId="42" borderId="1" xfId="0" applyFill="1" applyBorder="1"/>
    <xf numFmtId="0" fontId="1" fillId="12" borderId="14" xfId="0" applyFont="1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1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1" fillId="43" borderId="1" xfId="0" applyFont="1" applyFill="1" applyBorder="1" applyAlignment="1">
      <alignment horizontal="center"/>
    </xf>
    <xf numFmtId="0" fontId="1" fillId="45" borderId="1" xfId="0" applyFont="1" applyFill="1" applyBorder="1" applyAlignment="1">
      <alignment horizontal="center"/>
    </xf>
    <xf numFmtId="0" fontId="3" fillId="45" borderId="1" xfId="3" applyFont="1" applyFill="1" applyBorder="1" applyAlignment="1">
      <alignment horizontal="center" vertical="center"/>
    </xf>
    <xf numFmtId="0" fontId="0" fillId="45" borderId="1" xfId="0" applyFill="1" applyBorder="1" applyAlignment="1">
      <alignment horizontal="center" vertical="center"/>
    </xf>
    <xf numFmtId="0" fontId="43" fillId="45" borderId="1" xfId="3" applyFont="1" applyFill="1" applyBorder="1" applyAlignment="1">
      <alignment horizontal="center" vertical="center"/>
    </xf>
    <xf numFmtId="0" fontId="43" fillId="45" borderId="1" xfId="3" applyFont="1" applyFill="1" applyBorder="1" applyAlignment="1" applyProtection="1">
      <alignment horizontal="center" vertical="center"/>
      <protection locked="0"/>
    </xf>
    <xf numFmtId="0" fontId="3" fillId="45" borderId="1" xfId="3" applyFont="1" applyFill="1" applyBorder="1" applyAlignment="1" applyProtection="1">
      <alignment horizontal="center" vertical="center"/>
    </xf>
    <xf numFmtId="0" fontId="3" fillId="45" borderId="1" xfId="3" applyFont="1" applyFill="1" applyBorder="1" applyAlignment="1" applyProtection="1">
      <alignment horizontal="center" vertical="center"/>
      <protection locked="0"/>
    </xf>
    <xf numFmtId="0" fontId="1" fillId="32" borderId="14" xfId="0" applyFont="1" applyFill="1" applyBorder="1" applyAlignment="1">
      <alignment horizontal="center"/>
    </xf>
    <xf numFmtId="0" fontId="0" fillId="32" borderId="14" xfId="0" applyFill="1" applyBorder="1" applyAlignment="1">
      <alignment horizontal="center"/>
    </xf>
    <xf numFmtId="0" fontId="1" fillId="44" borderId="1" xfId="0" applyFont="1" applyFill="1" applyBorder="1" applyAlignment="1">
      <alignment horizontal="center"/>
    </xf>
    <xf numFmtId="0" fontId="0" fillId="44" borderId="1" xfId="0" applyFill="1" applyBorder="1"/>
    <xf numFmtId="0" fontId="62" fillId="34" borderId="0" xfId="0" applyFont="1" applyFill="1" applyBorder="1" applyAlignment="1">
      <alignment horizontal="center" vertical="center" wrapText="1"/>
    </xf>
    <xf numFmtId="0" fontId="20" fillId="34" borderId="0" xfId="0" applyFont="1" applyFill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9" fillId="34" borderId="21" xfId="0" applyFont="1" applyFill="1" applyBorder="1" applyAlignment="1">
      <alignment vertical="top"/>
    </xf>
    <xf numFmtId="0" fontId="9" fillId="34" borderId="12" xfId="0" applyFont="1" applyFill="1" applyBorder="1" applyAlignment="1">
      <alignment vertical="top"/>
    </xf>
    <xf numFmtId="0" fontId="9" fillId="34" borderId="13" xfId="0" applyFont="1" applyFill="1" applyBorder="1" applyAlignment="1">
      <alignment vertical="top"/>
    </xf>
    <xf numFmtId="0" fontId="9" fillId="34" borderId="9" xfId="0" applyFont="1" applyFill="1" applyBorder="1" applyAlignment="1">
      <alignment horizontal="center" vertical="top"/>
    </xf>
    <xf numFmtId="0" fontId="9" fillId="34" borderId="17" xfId="0" applyFont="1" applyFill="1" applyBorder="1" applyAlignment="1">
      <alignment horizontal="center" vertical="top"/>
    </xf>
    <xf numFmtId="0" fontId="9" fillId="34" borderId="18" xfId="0" applyFont="1" applyFill="1" applyBorder="1" applyAlignment="1">
      <alignment horizontal="center" vertical="top"/>
    </xf>
    <xf numFmtId="0" fontId="9" fillId="34" borderId="15" xfId="0" applyFont="1" applyFill="1" applyBorder="1" applyAlignment="1">
      <alignment horizontal="center" vertical="top"/>
    </xf>
    <xf numFmtId="0" fontId="9" fillId="34" borderId="10" xfId="0" applyFont="1" applyFill="1" applyBorder="1" applyAlignment="1">
      <alignment horizontal="center" vertical="top"/>
    </xf>
    <xf numFmtId="0" fontId="9" fillId="34" borderId="16" xfId="0" applyFont="1" applyFill="1" applyBorder="1" applyAlignment="1">
      <alignment horizontal="center" vertical="top"/>
    </xf>
    <xf numFmtId="0" fontId="9" fillId="34" borderId="33" xfId="0" applyFont="1" applyFill="1" applyBorder="1" applyAlignment="1">
      <alignment vertical="top"/>
    </xf>
    <xf numFmtId="0" fontId="11" fillId="0" borderId="2" xfId="0" applyFont="1" applyBorder="1" applyAlignment="1">
      <alignment horizontal="center"/>
    </xf>
    <xf numFmtId="0" fontId="11" fillId="4" borderId="22" xfId="0" applyFont="1" applyFill="1" applyBorder="1" applyAlignment="1">
      <alignment vertical="center" wrapText="1"/>
    </xf>
    <xf numFmtId="0" fontId="7" fillId="4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3" xfId="0" applyFont="1" applyBorder="1"/>
    <xf numFmtId="0" fontId="0" fillId="0" borderId="32" xfId="0" applyBorder="1"/>
    <xf numFmtId="0" fontId="55" fillId="0" borderId="3" xfId="0" applyFont="1" applyBorder="1" applyAlignment="1">
      <alignment vertical="center"/>
    </xf>
    <xf numFmtId="0" fontId="55" fillId="0" borderId="0" xfId="0" applyFont="1" applyBorder="1" applyAlignment="1">
      <alignment vertical="center"/>
    </xf>
    <xf numFmtId="165" fontId="1" fillId="0" borderId="32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vertical="center" wrapText="1"/>
    </xf>
    <xf numFmtId="0" fontId="55" fillId="0" borderId="9" xfId="0" applyFont="1" applyBorder="1" applyAlignment="1">
      <alignment vertical="center"/>
    </xf>
    <xf numFmtId="165" fontId="1" fillId="0" borderId="10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vertical="center"/>
    </xf>
    <xf numFmtId="0" fontId="55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10" fillId="2" borderId="0" xfId="0" applyFont="1" applyFill="1" applyBorder="1" applyAlignment="1">
      <alignment horizontal="center" vertical="top"/>
    </xf>
    <xf numFmtId="0" fontId="7" fillId="2" borderId="0" xfId="0" applyFont="1" applyFill="1" applyBorder="1" applyAlignment="1">
      <alignment horizontal="center"/>
    </xf>
    <xf numFmtId="0" fontId="5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horizontal="center"/>
    </xf>
    <xf numFmtId="0" fontId="64" fillId="0" borderId="0" xfId="0" applyFont="1" applyFill="1" applyBorder="1"/>
    <xf numFmtId="0" fontId="64" fillId="0" borderId="0" xfId="0" applyFont="1" applyFill="1" applyBorder="1" applyAlignment="1">
      <alignment horizontal="center"/>
    </xf>
    <xf numFmtId="0" fontId="1" fillId="47" borderId="1" xfId="0" applyFont="1" applyFill="1" applyBorder="1"/>
    <xf numFmtId="0" fontId="1" fillId="47" borderId="1" xfId="0" applyFont="1" applyFill="1" applyBorder="1" applyAlignment="1">
      <alignment horizontal="center"/>
    </xf>
    <xf numFmtId="0" fontId="0" fillId="47" borderId="1" xfId="0" applyFill="1" applyBorder="1"/>
    <xf numFmtId="0" fontId="0" fillId="47" borderId="1" xfId="0" applyFill="1" applyBorder="1" applyAlignment="1">
      <alignment horizontal="center"/>
    </xf>
    <xf numFmtId="0" fontId="1" fillId="12" borderId="1" xfId="0" applyFont="1" applyFill="1" applyBorder="1"/>
    <xf numFmtId="0" fontId="1" fillId="12" borderId="1" xfId="0" applyFont="1" applyFill="1" applyBorder="1" applyAlignment="1">
      <alignment horizontal="center"/>
    </xf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1" fillId="36" borderId="1" xfId="0" applyFont="1" applyFill="1" applyBorder="1"/>
    <xf numFmtId="0" fontId="0" fillId="36" borderId="1" xfId="0" applyFill="1" applyBorder="1"/>
    <xf numFmtId="0" fontId="1" fillId="48" borderId="1" xfId="0" applyFont="1" applyFill="1" applyBorder="1"/>
    <xf numFmtId="0" fontId="1" fillId="48" borderId="1" xfId="0" applyFont="1" applyFill="1" applyBorder="1" applyAlignment="1">
      <alignment horizontal="center"/>
    </xf>
    <xf numFmtId="0" fontId="0" fillId="48" borderId="1" xfId="0" applyFill="1" applyBorder="1"/>
    <xf numFmtId="0" fontId="0" fillId="48" borderId="1" xfId="0" applyFill="1" applyBorder="1" applyAlignment="1">
      <alignment horizontal="center"/>
    </xf>
    <xf numFmtId="0" fontId="1" fillId="11" borderId="1" xfId="0" applyFont="1" applyFill="1" applyBorder="1"/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1" fillId="43" borderId="1" xfId="0" applyFont="1" applyFill="1" applyBorder="1"/>
    <xf numFmtId="0" fontId="0" fillId="43" borderId="1" xfId="0" applyFill="1" applyBorder="1"/>
    <xf numFmtId="0" fontId="0" fillId="43" borderId="1" xfId="0" applyFill="1" applyBorder="1" applyAlignment="1">
      <alignment horizontal="center"/>
    </xf>
    <xf numFmtId="0" fontId="1" fillId="39" borderId="1" xfId="0" applyFont="1" applyFill="1" applyBorder="1"/>
    <xf numFmtId="0" fontId="1" fillId="39" borderId="1" xfId="0" applyFont="1" applyFill="1" applyBorder="1" applyAlignment="1">
      <alignment horizontal="center"/>
    </xf>
    <xf numFmtId="0" fontId="0" fillId="39" borderId="1" xfId="0" applyFill="1" applyBorder="1"/>
    <xf numFmtId="0" fontId="0" fillId="39" borderId="1" xfId="0" applyFill="1" applyBorder="1" applyAlignment="1">
      <alignment horizontal="center"/>
    </xf>
    <xf numFmtId="0" fontId="0" fillId="11" borderId="1" xfId="0" applyFill="1" applyBorder="1" applyAlignment="1" applyProtection="1">
      <alignment horizontal="center"/>
    </xf>
    <xf numFmtId="0" fontId="0" fillId="11" borderId="0" xfId="0" applyFill="1" applyAlignment="1">
      <alignment horizontal="center"/>
    </xf>
    <xf numFmtId="0" fontId="1" fillId="43" borderId="5" xfId="0" applyFont="1" applyFill="1" applyBorder="1"/>
    <xf numFmtId="0" fontId="0" fillId="43" borderId="6" xfId="0" applyFill="1" applyBorder="1" applyAlignment="1">
      <alignment horizontal="center"/>
    </xf>
    <xf numFmtId="0" fontId="0" fillId="43" borderId="7" xfId="0" applyFill="1" applyBorder="1"/>
    <xf numFmtId="0" fontId="66" fillId="36" borderId="14" xfId="0" applyFont="1" applyFill="1" applyBorder="1"/>
    <xf numFmtId="0" fontId="1" fillId="36" borderId="2" xfId="0" applyFont="1" applyFill="1" applyBorder="1" applyAlignment="1">
      <alignment horizontal="center"/>
    </xf>
    <xf numFmtId="0" fontId="0" fillId="36" borderId="14" xfId="0" applyFill="1" applyBorder="1"/>
    <xf numFmtId="0" fontId="0" fillId="36" borderId="15" xfId="0" applyFill="1" applyBorder="1"/>
    <xf numFmtId="0" fontId="0" fillId="36" borderId="16" xfId="0" applyFill="1" applyBorder="1"/>
    <xf numFmtId="0" fontId="1" fillId="48" borderId="5" xfId="0" applyFont="1" applyFill="1" applyBorder="1"/>
    <xf numFmtId="0" fontId="0" fillId="48" borderId="6" xfId="0" applyFill="1" applyBorder="1"/>
    <xf numFmtId="0" fontId="0" fillId="48" borderId="7" xfId="0" applyFill="1" applyBorder="1"/>
    <xf numFmtId="0" fontId="1" fillId="11" borderId="5" xfId="0" applyFont="1" applyFill="1" applyBorder="1"/>
    <xf numFmtId="0" fontId="0" fillId="11" borderId="6" xfId="0" applyFill="1" applyBorder="1"/>
    <xf numFmtId="0" fontId="0" fillId="11" borderId="7" xfId="0" applyFill="1" applyBorder="1"/>
    <xf numFmtId="0" fontId="1" fillId="39" borderId="5" xfId="0" applyFont="1" applyFill="1" applyBorder="1"/>
    <xf numFmtId="0" fontId="0" fillId="39" borderId="6" xfId="0" applyFill="1" applyBorder="1"/>
    <xf numFmtId="0" fontId="0" fillId="39" borderId="7" xfId="0" applyFill="1" applyBorder="1"/>
    <xf numFmtId="0" fontId="1" fillId="36" borderId="5" xfId="0" applyFont="1" applyFill="1" applyBorder="1"/>
    <xf numFmtId="0" fontId="0" fillId="36" borderId="6" xfId="0" applyFill="1" applyBorder="1"/>
    <xf numFmtId="0" fontId="0" fillId="36" borderId="7" xfId="0" applyFill="1" applyBorder="1"/>
    <xf numFmtId="0" fontId="0" fillId="11" borderId="1" xfId="0" applyFill="1" applyBorder="1" applyAlignment="1">
      <alignment horizontal="left"/>
    </xf>
    <xf numFmtId="0" fontId="0" fillId="34" borderId="0" xfId="0" applyFill="1"/>
    <xf numFmtId="0" fontId="0" fillId="34" borderId="0" xfId="0" applyFill="1" applyAlignment="1">
      <alignment horizontal="center"/>
    </xf>
    <xf numFmtId="0" fontId="0" fillId="50" borderId="0" xfId="0" applyFill="1"/>
    <xf numFmtId="0" fontId="0" fillId="51" borderId="0" xfId="0" applyFill="1"/>
    <xf numFmtId="0" fontId="0" fillId="51" borderId="0" xfId="0" applyFill="1" applyAlignment="1">
      <alignment horizontal="center"/>
    </xf>
    <xf numFmtId="0" fontId="2" fillId="2" borderId="1" xfId="48" applyFill="1" applyBorder="1" applyAlignment="1">
      <alignment horizontal="center"/>
    </xf>
    <xf numFmtId="0" fontId="23" fillId="0" borderId="1" xfId="144" applyNumberFormat="1" applyFont="1" applyFill="1" applyBorder="1" applyAlignment="1">
      <alignment horizontal="center" vertical="center"/>
    </xf>
    <xf numFmtId="0" fontId="1" fillId="0" borderId="0" xfId="0" applyFont="1" applyBorder="1"/>
    <xf numFmtId="0" fontId="0" fillId="2" borderId="32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Border="1"/>
    <xf numFmtId="0" fontId="0" fillId="2" borderId="32" xfId="0" applyFill="1" applyBorder="1"/>
    <xf numFmtId="0" fontId="55" fillId="2" borderId="8" xfId="0" applyFont="1" applyFill="1" applyBorder="1" applyAlignment="1">
      <alignment vertical="center"/>
    </xf>
    <xf numFmtId="0" fontId="55" fillId="2" borderId="9" xfId="0" applyFont="1" applyFill="1" applyBorder="1" applyAlignment="1">
      <alignment vertical="center"/>
    </xf>
    <xf numFmtId="165" fontId="1" fillId="2" borderId="10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vertical="center" wrapText="1"/>
    </xf>
    <xf numFmtId="0" fontId="0" fillId="2" borderId="0" xfId="0" applyFill="1" applyBorder="1" applyAlignment="1">
      <alignment vertical="center" wrapText="1"/>
    </xf>
    <xf numFmtId="0" fontId="55" fillId="2" borderId="8" xfId="0" applyFont="1" applyFill="1" applyBorder="1" applyAlignment="1">
      <alignment vertical="center" wrapText="1"/>
    </xf>
    <xf numFmtId="0" fontId="55" fillId="2" borderId="9" xfId="0" applyFont="1" applyFill="1" applyBorder="1" applyAlignment="1">
      <alignment vertical="center" wrapText="1"/>
    </xf>
    <xf numFmtId="0" fontId="55" fillId="2" borderId="10" xfId="0" applyFont="1" applyFill="1" applyBorder="1" applyAlignment="1">
      <alignment vertical="center" wrapText="1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5" fillId="2" borderId="8" xfId="0" applyFont="1" applyFill="1" applyBorder="1" applyAlignment="1">
      <alignment horizontal="center" vertical="center"/>
    </xf>
    <xf numFmtId="0" fontId="55" fillId="2" borderId="8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52" borderId="1" xfId="0" applyFill="1" applyBorder="1" applyAlignment="1">
      <alignment horizontal="center"/>
    </xf>
    <xf numFmtId="0" fontId="0" fillId="52" borderId="1" xfId="0" applyFill="1" applyBorder="1"/>
    <xf numFmtId="0" fontId="0" fillId="0" borderId="4" xfId="0" applyBorder="1" applyAlignment="1">
      <alignment horizontal="center"/>
    </xf>
    <xf numFmtId="0" fontId="41" fillId="0" borderId="1" xfId="53" applyFill="1" applyBorder="1" applyAlignment="1">
      <alignment horizontal="center"/>
    </xf>
    <xf numFmtId="0" fontId="41" fillId="0" borderId="1" xfId="53" applyBorder="1" applyAlignment="1">
      <alignment horizontal="center" vertical="center"/>
    </xf>
    <xf numFmtId="0" fontId="68" fillId="0" borderId="1" xfId="53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1" fillId="0" borderId="2" xfId="53" applyBorder="1" applyAlignment="1">
      <alignment horizontal="center"/>
    </xf>
    <xf numFmtId="0" fontId="66" fillId="52" borderId="4" xfId="0" applyFont="1" applyFill="1" applyBorder="1" applyAlignment="1">
      <alignment horizontal="center"/>
    </xf>
    <xf numFmtId="0" fontId="0" fillId="0" borderId="1" xfId="0" applyFill="1" applyBorder="1"/>
    <xf numFmtId="0" fontId="0" fillId="11" borderId="0" xfId="0" applyFill="1" applyBorder="1"/>
    <xf numFmtId="0" fontId="4" fillId="47" borderId="5" xfId="0" applyFont="1" applyFill="1" applyBorder="1" applyAlignment="1">
      <alignment horizontal="left"/>
    </xf>
    <xf numFmtId="0" fontId="4" fillId="47" borderId="6" xfId="0" applyFont="1" applyFill="1" applyBorder="1" applyAlignment="1">
      <alignment horizontal="left"/>
    </xf>
    <xf numFmtId="0" fontId="4" fillId="47" borderId="7" xfId="0" applyFont="1" applyFill="1" applyBorder="1" applyAlignment="1">
      <alignment horizontal="left"/>
    </xf>
    <xf numFmtId="0" fontId="4" fillId="47" borderId="8" xfId="0" applyFont="1" applyFill="1" applyBorder="1" applyAlignment="1">
      <alignment horizontal="left"/>
    </xf>
    <xf numFmtId="0" fontId="4" fillId="47" borderId="9" xfId="0" applyFont="1" applyFill="1" applyBorder="1" applyAlignment="1">
      <alignment horizontal="left"/>
    </xf>
    <xf numFmtId="0" fontId="4" fillId="47" borderId="10" xfId="0" applyFont="1" applyFill="1" applyBorder="1" applyAlignment="1">
      <alignment horizontal="left"/>
    </xf>
    <xf numFmtId="0" fontId="1" fillId="42" borderId="1" xfId="0" applyFont="1" applyFill="1" applyBorder="1" applyAlignment="1">
      <alignment horizontal="center"/>
    </xf>
    <xf numFmtId="0" fontId="1" fillId="44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wrapText="1"/>
    </xf>
    <xf numFmtId="0" fontId="7" fillId="36" borderId="1" xfId="0" applyFont="1" applyFill="1" applyBorder="1" applyAlignment="1">
      <alignment horizontal="center" vertical="center"/>
    </xf>
    <xf numFmtId="0" fontId="7" fillId="35" borderId="1" xfId="0" applyFont="1" applyFill="1" applyBorder="1" applyAlignment="1">
      <alignment horizontal="center" vertical="center"/>
    </xf>
    <xf numFmtId="0" fontId="7" fillId="34" borderId="1" xfId="0" applyFont="1" applyFill="1" applyBorder="1" applyAlignment="1">
      <alignment horizontal="center" vertical="center"/>
    </xf>
    <xf numFmtId="0" fontId="7" fillId="33" borderId="1" xfId="0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horizontal="center" vertical="center"/>
    </xf>
    <xf numFmtId="0" fontId="8" fillId="34" borderId="11" xfId="0" applyFont="1" applyFill="1" applyBorder="1" applyAlignment="1">
      <alignment horizontal="center" vertical="center"/>
    </xf>
    <xf numFmtId="0" fontId="8" fillId="34" borderId="12" xfId="0" applyFont="1" applyFill="1" applyBorder="1" applyAlignment="1">
      <alignment horizontal="center" vertical="center"/>
    </xf>
    <xf numFmtId="0" fontId="8" fillId="34" borderId="13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61" fillId="34" borderId="1" xfId="0" applyFont="1" applyFill="1" applyBorder="1" applyAlignment="1">
      <alignment horizontal="center" vertical="center"/>
    </xf>
    <xf numFmtId="0" fontId="17" fillId="34" borderId="1" xfId="0" applyFont="1" applyFill="1" applyBorder="1" applyAlignment="1">
      <alignment horizontal="center" vertical="center"/>
    </xf>
    <xf numFmtId="0" fontId="17" fillId="34" borderId="14" xfId="0" applyFont="1" applyFill="1" applyBorder="1" applyAlignment="1">
      <alignment horizontal="center" vertical="center"/>
    </xf>
    <xf numFmtId="0" fontId="63" fillId="34" borderId="1" xfId="0" applyFont="1" applyFill="1" applyBorder="1" applyAlignment="1">
      <alignment horizontal="center" vertical="center"/>
    </xf>
    <xf numFmtId="0" fontId="18" fillId="34" borderId="1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7" fillId="34" borderId="20" xfId="0" applyFont="1" applyFill="1" applyBorder="1" applyAlignment="1">
      <alignment horizontal="center" vertical="center"/>
    </xf>
    <xf numFmtId="0" fontId="17" fillId="34" borderId="21" xfId="0" applyFont="1" applyFill="1" applyBorder="1" applyAlignment="1">
      <alignment horizontal="center" vertical="center"/>
    </xf>
    <xf numFmtId="0" fontId="9" fillId="34" borderId="19" xfId="0" applyFont="1" applyFill="1" applyBorder="1" applyAlignment="1">
      <alignment horizontal="left" vertical="top"/>
    </xf>
    <xf numFmtId="0" fontId="9" fillId="34" borderId="17" xfId="0" applyFont="1" applyFill="1" applyBorder="1" applyAlignment="1">
      <alignment horizontal="left" vertical="top"/>
    </xf>
    <xf numFmtId="0" fontId="9" fillId="34" borderId="18" xfId="0" applyFont="1" applyFill="1" applyBorder="1" applyAlignment="1">
      <alignment horizontal="left" vertical="top"/>
    </xf>
    <xf numFmtId="0" fontId="60" fillId="34" borderId="1" xfId="0" applyFont="1" applyFill="1" applyBorder="1" applyAlignment="1">
      <alignment horizontal="left" vertical="top"/>
    </xf>
    <xf numFmtId="0" fontId="9" fillId="34" borderId="1" xfId="0" applyFont="1" applyFill="1" applyBorder="1" applyAlignment="1">
      <alignment horizontal="left" vertical="top"/>
    </xf>
    <xf numFmtId="0" fontId="13" fillId="7" borderId="1" xfId="0" applyFont="1" applyFill="1" applyBorder="1" applyAlignment="1">
      <alignment horizontal="center"/>
    </xf>
    <xf numFmtId="0" fontId="11" fillId="9" borderId="14" xfId="0" quotePrefix="1" applyFont="1" applyFill="1" applyBorder="1" applyAlignment="1">
      <alignment horizontal="right"/>
    </xf>
    <xf numFmtId="0" fontId="11" fillId="9" borderId="15" xfId="0" quotePrefix="1" applyFont="1" applyFill="1" applyBorder="1" applyAlignment="1">
      <alignment horizontal="right"/>
    </xf>
    <xf numFmtId="2" fontId="16" fillId="6" borderId="15" xfId="1" applyNumberFormat="1" applyFont="1" applyFill="1" applyBorder="1" applyAlignment="1">
      <alignment horizontal="center"/>
    </xf>
    <xf numFmtId="0" fontId="8" fillId="34" borderId="6" xfId="0" applyFont="1" applyFill="1" applyBorder="1" applyAlignment="1">
      <alignment horizontal="center" vertical="center"/>
    </xf>
    <xf numFmtId="0" fontId="8" fillId="34" borderId="7" xfId="0" applyFont="1" applyFill="1" applyBorder="1" applyAlignment="1">
      <alignment horizontal="center" vertical="center"/>
    </xf>
    <xf numFmtId="0" fontId="60" fillId="34" borderId="15" xfId="0" applyFont="1" applyFill="1" applyBorder="1" applyAlignment="1">
      <alignment horizontal="left" vertical="top"/>
    </xf>
    <xf numFmtId="0" fontId="60" fillId="34" borderId="16" xfId="0" applyFont="1" applyFill="1" applyBorder="1" applyAlignment="1">
      <alignment horizontal="left" vertical="top"/>
    </xf>
    <xf numFmtId="0" fontId="63" fillId="34" borderId="15" xfId="0" applyFont="1" applyFill="1" applyBorder="1" applyAlignment="1">
      <alignment horizontal="center" vertical="center"/>
    </xf>
    <xf numFmtId="0" fontId="60" fillId="34" borderId="9" xfId="0" applyFont="1" applyFill="1" applyBorder="1" applyAlignment="1">
      <alignment horizontal="left" vertical="top"/>
    </xf>
    <xf numFmtId="0" fontId="60" fillId="34" borderId="10" xfId="0" applyFont="1" applyFill="1" applyBorder="1" applyAlignment="1">
      <alignment horizontal="left" vertical="top"/>
    </xf>
    <xf numFmtId="0" fontId="61" fillId="34" borderId="9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9" fillId="34" borderId="14" xfId="0" applyFont="1" applyFill="1" applyBorder="1" applyAlignment="1">
      <alignment horizontal="left" vertical="top"/>
    </xf>
    <xf numFmtId="0" fontId="18" fillId="34" borderId="8" xfId="0" applyFont="1" applyFill="1" applyBorder="1" applyAlignment="1">
      <alignment horizontal="center" vertical="center"/>
    </xf>
    <xf numFmtId="0" fontId="18" fillId="34" borderId="9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0" fillId="34" borderId="14" xfId="0" applyFont="1" applyFill="1" applyBorder="1" applyAlignment="1">
      <alignment horizontal="left" vertical="top"/>
    </xf>
    <xf numFmtId="0" fontId="9" fillId="34" borderId="15" xfId="0" applyFont="1" applyFill="1" applyBorder="1" applyAlignment="1">
      <alignment horizontal="left" vertical="top"/>
    </xf>
    <xf numFmtId="0" fontId="61" fillId="34" borderId="8" xfId="0" applyFont="1" applyFill="1" applyBorder="1" applyAlignment="1">
      <alignment horizontal="center" vertical="center"/>
    </xf>
    <xf numFmtId="0" fontId="17" fillId="34" borderId="9" xfId="0" applyFont="1" applyFill="1" applyBorder="1" applyAlignment="1">
      <alignment horizontal="center" vertical="center"/>
    </xf>
    <xf numFmtId="0" fontId="65" fillId="34" borderId="1" xfId="0" applyFont="1" applyFill="1" applyBorder="1" applyAlignment="1">
      <alignment horizontal="center"/>
    </xf>
    <xf numFmtId="0" fontId="48" fillId="34" borderId="1" xfId="0" applyFont="1" applyFill="1" applyBorder="1" applyAlignment="1">
      <alignment horizontal="center"/>
    </xf>
    <xf numFmtId="0" fontId="48" fillId="34" borderId="4" xfId="0" applyFont="1" applyFill="1" applyBorder="1" applyAlignment="1">
      <alignment horizontal="center"/>
    </xf>
    <xf numFmtId="0" fontId="65" fillId="49" borderId="1" xfId="0" applyFont="1" applyFill="1" applyBorder="1" applyAlignment="1">
      <alignment horizontal="center"/>
    </xf>
    <xf numFmtId="0" fontId="47" fillId="49" borderId="1" xfId="0" applyFont="1" applyFill="1" applyBorder="1" applyAlignment="1">
      <alignment horizontal="center"/>
    </xf>
    <xf numFmtId="0" fontId="67" fillId="43" borderId="3" xfId="0" applyFont="1" applyFill="1" applyBorder="1" applyAlignment="1">
      <alignment horizontal="center"/>
    </xf>
    <xf numFmtId="0" fontId="50" fillId="43" borderId="0" xfId="0" applyFont="1" applyFill="1" applyBorder="1" applyAlignment="1">
      <alignment horizontal="center"/>
    </xf>
    <xf numFmtId="0" fontId="50" fillId="43" borderId="3" xfId="0" applyFont="1" applyFill="1" applyBorder="1" applyAlignment="1">
      <alignment horizontal="center"/>
    </xf>
    <xf numFmtId="0" fontId="65" fillId="50" borderId="1" xfId="0" applyFont="1" applyFill="1" applyBorder="1" applyAlignment="1">
      <alignment horizontal="center"/>
    </xf>
    <xf numFmtId="0" fontId="49" fillId="50" borderId="1" xfId="0" applyFont="1" applyFill="1" applyBorder="1" applyAlignment="1">
      <alignment horizontal="center"/>
    </xf>
    <xf numFmtId="0" fontId="46" fillId="0" borderId="1" xfId="0" applyFont="1" applyBorder="1" applyAlignment="1">
      <alignment horizontal="center" vertical="center"/>
    </xf>
    <xf numFmtId="0" fontId="53" fillId="0" borderId="0" xfId="0" applyFont="1" applyAlignment="1">
      <alignment horizontal="left" vertical="center"/>
    </xf>
    <xf numFmtId="0" fontId="52" fillId="0" borderId="0" xfId="0" applyFont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45" fillId="0" borderId="1" xfId="0" applyFont="1" applyBorder="1" applyAlignment="1">
      <alignment horizontal="center" vertical="center"/>
    </xf>
    <xf numFmtId="0" fontId="44" fillId="32" borderId="1" xfId="0" applyFont="1" applyFill="1" applyBorder="1" applyAlignment="1">
      <alignment horizontal="left" vertical="center"/>
    </xf>
    <xf numFmtId="0" fontId="44" fillId="39" borderId="1" xfId="0" applyFont="1" applyFill="1" applyBorder="1" applyAlignment="1">
      <alignment horizontal="left" vertical="center"/>
    </xf>
    <xf numFmtId="0" fontId="59" fillId="0" borderId="32" xfId="0" applyFont="1" applyBorder="1" applyAlignment="1">
      <alignment horizontal="left" vertical="center"/>
    </xf>
    <xf numFmtId="0" fontId="56" fillId="41" borderId="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66" fontId="58" fillId="37" borderId="1" xfId="0" applyNumberFormat="1" applyFont="1" applyFill="1" applyBorder="1" applyAlignment="1">
      <alignment horizontal="center" vertical="center"/>
    </xf>
    <xf numFmtId="0" fontId="44" fillId="38" borderId="1" xfId="0" applyFont="1" applyFill="1" applyBorder="1" applyAlignment="1">
      <alignment horizontal="left" vertical="center"/>
    </xf>
    <xf numFmtId="0" fontId="44" fillId="40" borderId="1" xfId="0" applyFont="1" applyFill="1" applyBorder="1" applyAlignment="1">
      <alignment horizontal="left" vertical="center"/>
    </xf>
    <xf numFmtId="0" fontId="57" fillId="46" borderId="0" xfId="0" applyFont="1" applyFill="1" applyAlignment="1">
      <alignment horizontal="center" vertical="center"/>
    </xf>
    <xf numFmtId="0" fontId="44" fillId="0" borderId="4" xfId="0" applyFont="1" applyBorder="1" applyAlignment="1">
      <alignment horizontal="left" vertical="center"/>
    </xf>
    <xf numFmtId="0" fontId="44" fillId="0" borderId="2" xfId="0" applyFont="1" applyBorder="1" applyAlignment="1">
      <alignment horizontal="left" vertical="center"/>
    </xf>
    <xf numFmtId="0" fontId="56" fillId="41" borderId="5" xfId="0" applyFont="1" applyFill="1" applyBorder="1" applyAlignment="1">
      <alignment horizontal="center" vertical="center"/>
    </xf>
    <xf numFmtId="0" fontId="56" fillId="41" borderId="6" xfId="0" applyFont="1" applyFill="1" applyBorder="1" applyAlignment="1">
      <alignment horizontal="center" vertical="center"/>
    </xf>
    <xf numFmtId="0" fontId="56" fillId="41" borderId="7" xfId="0" applyFont="1" applyFill="1" applyBorder="1" applyAlignment="1">
      <alignment horizontal="center" vertical="center"/>
    </xf>
    <xf numFmtId="0" fontId="56" fillId="41" borderId="3" xfId="0" applyFont="1" applyFill="1" applyBorder="1" applyAlignment="1">
      <alignment horizontal="center" vertical="center"/>
    </xf>
    <xf numFmtId="0" fontId="56" fillId="41" borderId="0" xfId="0" applyFont="1" applyFill="1" applyBorder="1" applyAlignment="1">
      <alignment horizontal="center" vertical="center"/>
    </xf>
    <xf numFmtId="0" fontId="56" fillId="41" borderId="32" xfId="0" applyFont="1" applyFill="1" applyBorder="1" applyAlignment="1">
      <alignment horizontal="center" vertical="center"/>
    </xf>
  </cellXfs>
  <cellStyles count="191">
    <cellStyle name="20% - Accent1 2" xfId="5"/>
    <cellStyle name="20% - Accent1 3" xfId="62"/>
    <cellStyle name="20% - Accent1 4" xfId="103"/>
    <cellStyle name="20% - Accent1 5" xfId="145"/>
    <cellStyle name="20% - Accent2 2" xfId="6"/>
    <cellStyle name="20% - Accent2 3" xfId="63"/>
    <cellStyle name="20% - Accent2 4" xfId="104"/>
    <cellStyle name="20% - Accent2 5" xfId="146"/>
    <cellStyle name="20% - Accent3 2" xfId="7"/>
    <cellStyle name="20% - Accent3 3" xfId="64"/>
    <cellStyle name="20% - Accent3 4" xfId="105"/>
    <cellStyle name="20% - Accent3 5" xfId="147"/>
    <cellStyle name="20% - Accent4 2" xfId="8"/>
    <cellStyle name="20% - Accent4 3" xfId="65"/>
    <cellStyle name="20% - Accent4 4" xfId="106"/>
    <cellStyle name="20% - Accent4 5" xfId="148"/>
    <cellStyle name="20% - Accent5 2" xfId="9"/>
    <cellStyle name="20% - Accent5 3" xfId="66"/>
    <cellStyle name="20% - Accent5 4" xfId="107"/>
    <cellStyle name="20% - Accent5 5" xfId="149"/>
    <cellStyle name="20% - Accent6 2" xfId="10"/>
    <cellStyle name="20% - Accent6 3" xfId="67"/>
    <cellStyle name="20% - Accent6 4" xfId="108"/>
    <cellStyle name="20% - Accent6 5" xfId="150"/>
    <cellStyle name="40% - Accent1 2" xfId="11"/>
    <cellStyle name="40% - Accent1 3" xfId="68"/>
    <cellStyle name="40% - Accent1 4" xfId="109"/>
    <cellStyle name="40% - Accent1 5" xfId="151"/>
    <cellStyle name="40% - Accent2 2" xfId="12"/>
    <cellStyle name="40% - Accent2 3" xfId="69"/>
    <cellStyle name="40% - Accent2 4" xfId="110"/>
    <cellStyle name="40% - Accent2 5" xfId="152"/>
    <cellStyle name="40% - Accent3 2" xfId="13"/>
    <cellStyle name="40% - Accent3 3" xfId="70"/>
    <cellStyle name="40% - Accent3 4" xfId="111"/>
    <cellStyle name="40% - Accent3 5" xfId="153"/>
    <cellStyle name="40% - Accent4 2" xfId="14"/>
    <cellStyle name="40% - Accent4 3" xfId="71"/>
    <cellStyle name="40% - Accent4 4" xfId="112"/>
    <cellStyle name="40% - Accent4 5" xfId="154"/>
    <cellStyle name="40% - Accent5 2" xfId="15"/>
    <cellStyle name="40% - Accent5 3" xfId="72"/>
    <cellStyle name="40% - Accent5 4" xfId="113"/>
    <cellStyle name="40% - Accent5 5" xfId="155"/>
    <cellStyle name="40% - Accent6 2" xfId="16"/>
    <cellStyle name="40% - Accent6 3" xfId="73"/>
    <cellStyle name="40% - Accent6 4" xfId="114"/>
    <cellStyle name="40% - Accent6 5" xfId="156"/>
    <cellStyle name="60% - Accent1 2" xfId="17"/>
    <cellStyle name="60% - Accent1 3" xfId="74"/>
    <cellStyle name="60% - Accent1 4" xfId="115"/>
    <cellStyle name="60% - Accent1 5" xfId="157"/>
    <cellStyle name="60% - Accent2 2" xfId="18"/>
    <cellStyle name="60% - Accent2 3" xfId="75"/>
    <cellStyle name="60% - Accent2 4" xfId="116"/>
    <cellStyle name="60% - Accent2 5" xfId="158"/>
    <cellStyle name="60% - Accent3 2" xfId="19"/>
    <cellStyle name="60% - Accent3 3" xfId="76"/>
    <cellStyle name="60% - Accent3 4" xfId="117"/>
    <cellStyle name="60% - Accent3 5" xfId="159"/>
    <cellStyle name="60% - Accent4 2" xfId="20"/>
    <cellStyle name="60% - Accent4 3" xfId="77"/>
    <cellStyle name="60% - Accent4 4" xfId="118"/>
    <cellStyle name="60% - Accent4 5" xfId="160"/>
    <cellStyle name="60% - Accent5 2" xfId="21"/>
    <cellStyle name="60% - Accent5 3" xfId="78"/>
    <cellStyle name="60% - Accent5 4" xfId="119"/>
    <cellStyle name="60% - Accent5 5" xfId="161"/>
    <cellStyle name="60% - Accent6 2" xfId="22"/>
    <cellStyle name="60% - Accent6 3" xfId="79"/>
    <cellStyle name="60% - Accent6 4" xfId="120"/>
    <cellStyle name="60% - Accent6 5" xfId="162"/>
    <cellStyle name="Accent1 2" xfId="23"/>
    <cellStyle name="Accent1 3" xfId="80"/>
    <cellStyle name="Accent1 4" xfId="121"/>
    <cellStyle name="Accent1 5" xfId="163"/>
    <cellStyle name="Accent2 2" xfId="24"/>
    <cellStyle name="Accent2 3" xfId="81"/>
    <cellStyle name="Accent2 4" xfId="122"/>
    <cellStyle name="Accent2 5" xfId="164"/>
    <cellStyle name="Accent3 2" xfId="25"/>
    <cellStyle name="Accent3 3" xfId="82"/>
    <cellStyle name="Accent3 4" xfId="123"/>
    <cellStyle name="Accent3 5" xfId="165"/>
    <cellStyle name="Accent4 2" xfId="26"/>
    <cellStyle name="Accent4 3" xfId="83"/>
    <cellStyle name="Accent4 4" xfId="124"/>
    <cellStyle name="Accent4 5" xfId="166"/>
    <cellStyle name="Accent5 2" xfId="27"/>
    <cellStyle name="Accent5 3" xfId="84"/>
    <cellStyle name="Accent5 4" xfId="125"/>
    <cellStyle name="Accent5 5" xfId="167"/>
    <cellStyle name="Accent6 2" xfId="28"/>
    <cellStyle name="Accent6 3" xfId="85"/>
    <cellStyle name="Accent6 4" xfId="126"/>
    <cellStyle name="Accent6 5" xfId="168"/>
    <cellStyle name="Bad 2" xfId="29"/>
    <cellStyle name="Bad 3" xfId="86"/>
    <cellStyle name="Bad 4" xfId="127"/>
    <cellStyle name="Bad 5" xfId="169"/>
    <cellStyle name="Calculation 2" xfId="30"/>
    <cellStyle name="Calculation 3" xfId="87"/>
    <cellStyle name="Calculation 4" xfId="128"/>
    <cellStyle name="Calculation 5" xfId="170"/>
    <cellStyle name="Check Cell 2" xfId="31"/>
    <cellStyle name="Check Cell 3" xfId="88"/>
    <cellStyle name="Check Cell 4" xfId="129"/>
    <cellStyle name="Check Cell 5" xfId="171"/>
    <cellStyle name="Comma" xfId="1" builtinId="3"/>
    <cellStyle name="Comma 2" xfId="51"/>
    <cellStyle name="Explanatory Text 2" xfId="32"/>
    <cellStyle name="Explanatory Text 3" xfId="89"/>
    <cellStyle name="Explanatory Text 4" xfId="130"/>
    <cellStyle name="Explanatory Text 5" xfId="172"/>
    <cellStyle name="Good 2" xfId="33"/>
    <cellStyle name="Good 3" xfId="90"/>
    <cellStyle name="Good 4" xfId="131"/>
    <cellStyle name="Good 5" xfId="173"/>
    <cellStyle name="Heading 1 2" xfId="34"/>
    <cellStyle name="Heading 1 3" xfId="91"/>
    <cellStyle name="Heading 1 4" xfId="132"/>
    <cellStyle name="Heading 1 5" xfId="174"/>
    <cellStyle name="Heading 2 2" xfId="35"/>
    <cellStyle name="Heading 2 3" xfId="92"/>
    <cellStyle name="Heading 2 4" xfId="133"/>
    <cellStyle name="Heading 2 5" xfId="175"/>
    <cellStyle name="Heading 3 2" xfId="36"/>
    <cellStyle name="Heading 3 3" xfId="93"/>
    <cellStyle name="Heading 3 4" xfId="134"/>
    <cellStyle name="Heading 3 5" xfId="176"/>
    <cellStyle name="Heading 4 2" xfId="37"/>
    <cellStyle name="Heading 4 3" xfId="94"/>
    <cellStyle name="Heading 4 4" xfId="135"/>
    <cellStyle name="Heading 4 5" xfId="177"/>
    <cellStyle name="Input 2" xfId="38"/>
    <cellStyle name="Input 3" xfId="95"/>
    <cellStyle name="Input 4" xfId="136"/>
    <cellStyle name="Input 5" xfId="178"/>
    <cellStyle name="Linked Cell 2" xfId="39"/>
    <cellStyle name="Linked Cell 3" xfId="96"/>
    <cellStyle name="Linked Cell 4" xfId="137"/>
    <cellStyle name="Linked Cell 5" xfId="179"/>
    <cellStyle name="Neutral 2" xfId="40"/>
    <cellStyle name="Neutral 3" xfId="97"/>
    <cellStyle name="Neutral 4" xfId="138"/>
    <cellStyle name="Neutral 5" xfId="180"/>
    <cellStyle name="Normal" xfId="0" builtinId="0"/>
    <cellStyle name="Normal 2" xfId="2"/>
    <cellStyle name="Normal 2 10" xfId="186"/>
    <cellStyle name="Normal 2 2" xfId="48"/>
    <cellStyle name="Normal 2 2 2" xfId="53"/>
    <cellStyle name="Normal 2 2 3" xfId="54"/>
    <cellStyle name="Normal 2 2 4" xfId="55"/>
    <cellStyle name="Normal 2 2 5" xfId="188"/>
    <cellStyle name="Normal 2 2 6" xfId="189"/>
    <cellStyle name="Normal 2 3" xfId="46"/>
    <cellStyle name="Normal 2 4" xfId="50"/>
    <cellStyle name="Normal 2 5" xfId="49"/>
    <cellStyle name="Normal 2 6" xfId="47"/>
    <cellStyle name="Normal 2 7" xfId="58"/>
    <cellStyle name="Normal 2 8" xfId="59"/>
    <cellStyle name="Normal 2 9" xfId="57"/>
    <cellStyle name="Normal 3" xfId="4"/>
    <cellStyle name="Normal 3 2" xfId="52"/>
    <cellStyle name="Normal 3 3" xfId="56"/>
    <cellStyle name="Normal 3 4" xfId="187"/>
    <cellStyle name="Normal 3 5" xfId="60"/>
    <cellStyle name="Normal 3 6" xfId="190"/>
    <cellStyle name="Normal 4" xfId="61"/>
    <cellStyle name="Normal 6" xfId="144"/>
    <cellStyle name="Normal_Sheet1" xfId="3"/>
    <cellStyle name="Note 2" xfId="41"/>
    <cellStyle name="Note 3" xfId="98"/>
    <cellStyle name="Note 4" xfId="139"/>
    <cellStyle name="Note 5" xfId="181"/>
    <cellStyle name="Output 2" xfId="42"/>
    <cellStyle name="Output 3" xfId="99"/>
    <cellStyle name="Output 4" xfId="140"/>
    <cellStyle name="Output 5" xfId="182"/>
    <cellStyle name="Title 2" xfId="43"/>
    <cellStyle name="Title 3" xfId="100"/>
    <cellStyle name="Title 4" xfId="141"/>
    <cellStyle name="Title 5" xfId="183"/>
    <cellStyle name="Total 2" xfId="44"/>
    <cellStyle name="Total 3" xfId="101"/>
    <cellStyle name="Total 4" xfId="142"/>
    <cellStyle name="Total 5" xfId="184"/>
    <cellStyle name="Warning Text 2" xfId="45"/>
    <cellStyle name="Warning Text 3" xfId="102"/>
    <cellStyle name="Warning Text 4" xfId="143"/>
    <cellStyle name="Warning Text 5" xfId="185"/>
  </cellStyles>
  <dxfs count="293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center" readingOrder="0"/>
    </dxf>
    <dxf>
      <alignment wrapText="1" readingOrder="0"/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66FF99"/>
      <color rgb="FFFFCC00"/>
      <color rgb="FF66FFFF"/>
      <color rgb="FF00FFFF"/>
      <color rgb="FF8FD2DF"/>
      <color rgb="FF99FF66"/>
      <color rgb="FF00CC00"/>
      <color rgb="FFFF7C80"/>
      <color rgb="FF00CC66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pivotCacheDefinition" Target="pivotCache/pivotCacheDefinition15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10.xml"/><Relationship Id="rId34" Type="http://schemas.openxmlformats.org/officeDocument/2006/relationships/pivotCacheDefinition" Target="pivotCache/pivotCacheDefinition2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29" Type="http://schemas.openxmlformats.org/officeDocument/2006/relationships/pivotCacheDefinition" Target="pivotCache/pivotCacheDefinition1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pivotCacheDefinition" Target="pivotCache/pivotCacheDefinition13.xml"/><Relationship Id="rId32" Type="http://schemas.openxmlformats.org/officeDocument/2006/relationships/pivotCacheDefinition" Target="pivotCache/pivotCacheDefinition21.xml"/><Relationship Id="rId37" Type="http://schemas.openxmlformats.org/officeDocument/2006/relationships/pivotCacheDefinition" Target="pivotCache/pivotCacheDefinition2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ivotCacheDefinition" Target="pivotCache/pivotCacheDefinition12.xml"/><Relationship Id="rId28" Type="http://schemas.openxmlformats.org/officeDocument/2006/relationships/pivotCacheDefinition" Target="pivotCache/pivotCacheDefinition17.xml"/><Relationship Id="rId36" Type="http://schemas.openxmlformats.org/officeDocument/2006/relationships/pivotCacheDefinition" Target="pivotCache/pivotCacheDefinition2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31" Type="http://schemas.openxmlformats.org/officeDocument/2006/relationships/pivotCacheDefinition" Target="pivotCache/pivotCacheDefinition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pivotCacheDefinition" Target="pivotCache/pivotCacheDefinition16.xml"/><Relationship Id="rId30" Type="http://schemas.openxmlformats.org/officeDocument/2006/relationships/pivotCacheDefinition" Target="pivotCache/pivotCacheDefinition19.xml"/><Relationship Id="rId35" Type="http://schemas.openxmlformats.org/officeDocument/2006/relationships/pivotCacheDefinition" Target="pivotCache/pivotCacheDefinition2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ivotCacheDefinition" Target="pivotCache/pivotCacheDefinition14.xml"/><Relationship Id="rId33" Type="http://schemas.openxmlformats.org/officeDocument/2006/relationships/pivotCacheDefinition" Target="pivotCache/pivotCacheDefinition22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[Pengolahan Hasil Survey Pusat(Master).xlsm]Draft!PivotTable1</c:name>
    <c:fmtId val="0"/>
  </c:pivotSource>
  <c:chart>
    <c:title>
      <c:overlay val="0"/>
    </c:title>
    <c:autoTitleDeleted val="0"/>
    <c:pivotFmts>
      <c:pivotFmt>
        <c:idx val="0"/>
        <c:spPr>
          <a:solidFill>
            <a:srgbClr val="FFC000"/>
          </a:solidFill>
        </c:spPr>
        <c:marker>
          <c:symbol val="none"/>
        </c:marker>
        <c:dLbl>
          <c:idx val="0"/>
          <c:numFmt formatCode="General" sourceLinked="0"/>
          <c:spPr/>
          <c:txPr>
            <a:bodyPr/>
            <a:lstStyle/>
            <a:p>
              <a:pPr>
                <a:defRPr sz="1200"/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</c:spPr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</c:spPr>
      </c:pivotFmt>
    </c:pivotFmts>
    <c:plotArea>
      <c:layout/>
      <c:pieChart>
        <c:varyColors val="1"/>
        <c:ser>
          <c:idx val="0"/>
          <c:order val="0"/>
          <c:tx>
            <c:strRef>
              <c:f>Draft!$B$7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</c:spPr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"/>
            <c:bubble3D val="0"/>
            <c:spPr>
              <a:solidFill>
                <a:srgbClr val="92D050"/>
              </a:solidFill>
            </c:spPr>
          </c:dPt>
          <c:dLbls>
            <c:numFmt formatCode="General" sourceLinked="0"/>
            <c:spPr/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Draft!$A$8:$A$11</c:f>
              <c:strCache>
                <c:ptCount val="3"/>
                <c:pt idx="0">
                  <c:v>Apotek</c:v>
                </c:pt>
                <c:pt idx="1">
                  <c:v>Rumah Sakit</c:v>
                </c:pt>
                <c:pt idx="2">
                  <c:v>(blank)</c:v>
                </c:pt>
              </c:strCache>
            </c:strRef>
          </c:cat>
          <c:val>
            <c:numRef>
              <c:f>Draft!$B$8:$B$11</c:f>
              <c:numCache>
                <c:formatCode>General</c:formatCode>
                <c:ptCount val="3"/>
                <c:pt idx="0">
                  <c:v>294</c:v>
                </c:pt>
                <c:pt idx="1">
                  <c:v>62</c:v>
                </c:pt>
                <c:pt idx="2">
                  <c:v>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[Pengolahan Hasil Survey Pusat(Master).xlsm]Cabang!PivotTable18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Outlet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Cabang!$B$21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Cabang!$A$22:$A$25</c:f>
              <c:strCache>
                <c:ptCount val="3"/>
                <c:pt idx="0">
                  <c:v>Apotek</c:v>
                </c:pt>
                <c:pt idx="1">
                  <c:v>Other</c:v>
                </c:pt>
                <c:pt idx="2">
                  <c:v>Rumah Sakit</c:v>
                </c:pt>
              </c:strCache>
            </c:strRef>
          </c:cat>
          <c:val>
            <c:numRef>
              <c:f>Cabang!$B$22:$B$25</c:f>
              <c:numCache>
                <c:formatCode>General</c:formatCode>
                <c:ptCount val="3"/>
                <c:pt idx="0">
                  <c:v>294</c:v>
                </c:pt>
                <c:pt idx="1">
                  <c:v>5</c:v>
                </c:pt>
                <c:pt idx="2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[Pengolahan Hasil Survey Pusat(Master).xlsm]Nasional!PivotTable3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</a:t>
            </a:r>
            <a:r>
              <a:rPr lang="en-US" baseline="0"/>
              <a:t> Outlet</a:t>
            </a:r>
            <a:endParaRPr lang="en-US"/>
          </a:p>
        </c:rich>
      </c:tx>
      <c:overlay val="0"/>
    </c:title>
    <c:autoTitleDeleted val="0"/>
    <c:pivotFmts>
      <c:pivotFmt>
        <c:idx val="0"/>
        <c:spPr>
          <a:solidFill>
            <a:srgbClr val="99FF66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>
              <a:alpha val="83000"/>
            </a:srgbClr>
          </a:solidFill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C00"/>
          </a:solidFill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7C80"/>
          </a:solidFill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Nasional!$B$19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FF66"/>
            </a:solidFill>
          </c:spPr>
          <c:dPt>
            <c:idx val="0"/>
            <c:bubble3D val="0"/>
            <c:spPr>
              <a:solidFill>
                <a:srgbClr val="00CC66">
                  <a:alpha val="83000"/>
                </a:srgbClr>
              </a:solidFill>
            </c:spPr>
          </c:dPt>
          <c:dPt>
            <c:idx val="1"/>
            <c:bubble3D val="0"/>
            <c:spPr>
              <a:solidFill>
                <a:srgbClr val="FFCC00"/>
              </a:solidFill>
            </c:spPr>
          </c:dPt>
          <c:dPt>
            <c:idx val="2"/>
            <c:bubble3D val="0"/>
            <c:spPr>
              <a:solidFill>
                <a:srgbClr val="FF7C80"/>
              </a:solidFill>
            </c:spPr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Nasional!$A$20:$A$23</c:f>
              <c:strCache>
                <c:ptCount val="3"/>
                <c:pt idx="0">
                  <c:v>Apotek</c:v>
                </c:pt>
                <c:pt idx="1">
                  <c:v>Rumah Sakit</c:v>
                </c:pt>
                <c:pt idx="2">
                  <c:v>Other</c:v>
                </c:pt>
              </c:strCache>
            </c:strRef>
          </c:cat>
          <c:val>
            <c:numRef>
              <c:f>Nasional!$B$20:$B$23</c:f>
              <c:numCache>
                <c:formatCode>General</c:formatCode>
                <c:ptCount val="3"/>
                <c:pt idx="0">
                  <c:v>294</c:v>
                </c:pt>
                <c:pt idx="1">
                  <c:v>62</c:v>
                </c:pt>
                <c:pt idx="2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[Pengolahan Hasil Survey Pusat(Master).xlsm]Region!PivotTable1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Outlet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Region!$B$23</c:f>
              <c:strCache>
                <c:ptCount val="1"/>
                <c:pt idx="0">
                  <c:v>Total</c:v>
                </c:pt>
              </c:strCache>
            </c:strRef>
          </c:tx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Region!$A$24:$A$26</c:f>
              <c:strCache>
                <c:ptCount val="2"/>
                <c:pt idx="0">
                  <c:v>Apotek</c:v>
                </c:pt>
                <c:pt idx="1">
                  <c:v>Rumah Sakit</c:v>
                </c:pt>
              </c:strCache>
            </c:strRef>
          </c:cat>
          <c:val>
            <c:numRef>
              <c:f>Region!$B$24:$B$26</c:f>
              <c:numCache>
                <c:formatCode>General</c:formatCode>
                <c:ptCount val="2"/>
                <c:pt idx="0">
                  <c:v>162</c:v>
                </c:pt>
                <c:pt idx="1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3</xdr:row>
      <xdr:rowOff>152400</xdr:rowOff>
    </xdr:from>
    <xdr:to>
      <xdr:col>0</xdr:col>
      <xdr:colOff>2581275</xdr:colOff>
      <xdr:row>5</xdr:row>
      <xdr:rowOff>123825</xdr:rowOff>
    </xdr:to>
    <xdr:sp macro="[0]!GabungDatabase" textlink="">
      <xdr:nvSpPr>
        <xdr:cNvPr id="4" name="Rounded Rectangle 3"/>
        <xdr:cNvSpPr/>
      </xdr:nvSpPr>
      <xdr:spPr>
        <a:xfrm>
          <a:off x="1114425" y="1495425"/>
          <a:ext cx="1466850" cy="3524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</a:rPr>
            <a:t>Gabungkan</a:t>
          </a:r>
          <a:r>
            <a:rPr lang="en-US" sz="1100" b="1" baseline="0">
              <a:solidFill>
                <a:schemeClr val="bg1"/>
              </a:solidFill>
            </a:rPr>
            <a:t> Database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742951</xdr:colOff>
      <xdr:row>2</xdr:row>
      <xdr:rowOff>9525</xdr:rowOff>
    </xdr:from>
    <xdr:to>
      <xdr:col>2</xdr:col>
      <xdr:colOff>4657725</xdr:colOff>
      <xdr:row>17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25</xdr:row>
      <xdr:rowOff>190500</xdr:rowOff>
    </xdr:from>
    <xdr:to>
      <xdr:col>1</xdr:col>
      <xdr:colOff>9525</xdr:colOff>
      <xdr:row>39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452197</xdr:colOff>
      <xdr:row>24</xdr:row>
      <xdr:rowOff>115455</xdr:rowOff>
    </xdr:from>
    <xdr:to>
      <xdr:col>1</xdr:col>
      <xdr:colOff>1</xdr:colOff>
      <xdr:row>41</xdr:row>
      <xdr:rowOff>76970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333374</xdr:colOff>
      <xdr:row>12</xdr:row>
      <xdr:rowOff>123825</xdr:rowOff>
    </xdr:from>
    <xdr:to>
      <xdr:col>5</xdr:col>
      <xdr:colOff>3267074</xdr:colOff>
      <xdr:row>26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rp.operations/Documents/Survey%20Kepuasan%20Pelanggan/okk/New%20Survey%202016/Kerjakan/Baru/Form%20Input%20Caba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 Print"/>
      <sheetName val="Database Outlet"/>
      <sheetName val="Form Input 1"/>
      <sheetName val="Database"/>
      <sheetName val="Form Input 2"/>
      <sheetName val="Keterangan"/>
      <sheetName val="Rekap keseluruhan 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2629.608020949076" createdVersion="3" refreshedVersion="3" minRefreshableVersion="3" recordCount="362">
  <cacheSource type="worksheet">
    <worksheetSource ref="B3:Z1048576" sheet="Database"/>
  </cacheSource>
  <cacheFields count="25">
    <cacheField name="Kuisioner Ke" numFmtId="0">
      <sharedItems containsBlank="1" count="2">
        <s v="S1"/>
        <m/>
      </sharedItems>
    </cacheField>
    <cacheField name="Tahun" numFmtId="0">
      <sharedItems containsString="0" containsBlank="1" containsNumber="1" containsInteger="1" minValue="2016" maxValue="2016" count="2">
        <n v="2016"/>
        <m/>
      </sharedItems>
    </cacheField>
    <cacheField name="Cabang" numFmtId="0">
      <sharedItems containsBlank="1" count="10">
        <s v="BAC"/>
        <s v="BGR"/>
        <s v="JBI"/>
        <s v="JK2"/>
        <s v="JPU"/>
        <s v="PJT"/>
        <s v="PTK"/>
        <s v="SB2"/>
        <s v="TSK"/>
        <m/>
      </sharedItems>
    </cacheField>
    <cacheField name="Nama Outlet" numFmtId="0">
      <sharedItems containsBlank="1" count="355">
        <s v="MEURASI"/>
        <s v="PUTROE MEURAXA"/>
        <s v="BERKAT"/>
        <s v="ACEH EYE CENTER"/>
        <s v="SAKTI"/>
        <s v="CEMPAKA FARMA"/>
        <s v="KIMIA FARMA"/>
        <s v="PELENGKAP FAKINAH"/>
        <s v="MUTIARA"/>
        <s v="RATU FARMA"/>
        <s v="FAMILY FARMA"/>
        <s v="LARIS"/>
        <s v="MEULABOH"/>
        <s v="WAWAN"/>
        <s v="AFIYAH"/>
        <s v="LARIS 3"/>
        <s v="JEUMPA"/>
        <s v="RIZKI MEURASI"/>
        <s v="WAHID"/>
        <s v="RSUD ZAINOEL ABIDIN"/>
        <s v="AP. KITA"/>
        <s v="AP. GAMMA"/>
        <s v="AP. YASA"/>
        <s v="AP. INDONESIA"/>
        <s v="AP. CARITAS"/>
        <s v="AP. ANNIDA"/>
        <s v="AP. FIT-Z"/>
        <s v="AP. MARGARETHA FARMA"/>
        <s v="AP. KRANGGAN"/>
        <s v="AP. MITRA SEHAT KELUARGA"/>
        <s v="AP. MULIA FARMA"/>
        <s v="AP. NAURA FARMA"/>
        <s v="AP. MUBAROK"/>
        <s v="AP. CIPAYUNG FARMA"/>
        <s v="AP. WASPADA FARMA"/>
        <s v="AP. VILLA DUTA"/>
        <s v="AP. ROSALINA"/>
        <s v="AP. DUTA ESA FARMA"/>
        <s v="AP. MEDIKA FARMA 29"/>
        <s v="AP. FLORA"/>
        <s v="AP. HANA MEDIKA"/>
        <s v="AP. MANDAPA FARMA"/>
        <s v="AP. ASIA"/>
        <s v="AP. IKANA"/>
        <s v="AP. BOULKIN"/>
        <s v="AP. CIBULUH"/>
        <s v="AP. NIRWANA"/>
        <s v="KLINIK PANDAWA RAYA"/>
        <s v="AP. K-24 CIKARET CIBINONG"/>
        <s v="AP. 99"/>
        <s v="RS. PERMATA CIBUBUR"/>
        <s v="AP. PELENGKAP KOP PEGAWAI RSU CIBINONG"/>
        <s v="RS. VANIA"/>
        <s v="RSUD. KOTA BOGOR"/>
        <s v="RSIA. JULIANA"/>
        <s v="RSUD. CIAWI"/>
        <s v="RS. SENTRA MEDIKA CIBINONG"/>
        <s v="RS. MITRA KELUARGA CIBUBUR"/>
        <s v="RS. MEILIA"/>
        <s v="PT. MEDIKALOKA CILEUNGSI"/>
        <s v="RS. MEDIKA DRAMAGA"/>
        <s v="RS. TRIMITRA"/>
        <s v="RS. MULIA PAJAJARAN"/>
        <s v="RS. ISLAM BOGOR"/>
        <s v="RSUD SALAK"/>
        <s v="RS. JATI SAMPURNA"/>
        <s v="Kambang"/>
        <s v="Kuningan"/>
        <s v="Avicenna"/>
        <s v="Prima"/>
        <s v="Bintang Semesta"/>
        <s v="Meranti"/>
        <s v="Sipin"/>
        <s v="Anak Ibu"/>
        <s v="Kopkar Energi"/>
        <s v="Kito"/>
        <s v="Bio Farma"/>
        <s v="Kita"/>
        <s v="Rotari"/>
        <s v="Baiturrahim"/>
        <s v="St. Theresia"/>
        <s v="AP. TANAH ABANG"/>
        <s v="AP. IDAMAN"/>
        <s v="RS. SILOAM TB SIMATUPANG"/>
        <s v="RS. MAYAPADA"/>
        <s v="RS. SILOAM KEBUN JERUK"/>
        <s v="AP. BUGAR"/>
        <s v="AP. KEMBANG KEREP"/>
        <s v="AP. K24 PESANGGRAHAN"/>
        <s v="AP. GMM"/>
        <s v="AP. RAPHA"/>
        <s v="AP. SEHAT SENTOSA"/>
        <s v="AP. SIMPANG PURI"/>
        <s v="AP. PURI SATU"/>
        <s v="AP. HANDAYANI"/>
        <s v="AP. KARYA MAKMUR"/>
        <s v="AP. TOMANG RAYA"/>
        <s v="AP. NIDEA"/>
        <s v="AP. 52"/>
        <s v="AP. MEDICASTORE"/>
        <s v="AP. CHICO"/>
        <s v="AP. STELLA MEDIKA"/>
        <s v="AP. PRADANA"/>
        <s v="AP. GREEN VILLE"/>
        <s v="AP. BUMI"/>
        <s v="AP. BINTANG"/>
        <s v="AP. LAUTAN BERKAT"/>
        <s v="AP. REJEKI TOMANG"/>
        <s v="AP. MATAHARI"/>
        <s v="PT. SARANDUTA PLUIT/ RS. PLUIT"/>
        <s v="RS. ATMAJAYA"/>
        <s v="RSIA. GRAND FAMILY"/>
        <s v="PT MANDARAMEDIKA UTAMA/ RS. PIK"/>
        <s v="AP. ANDALAS"/>
        <s v="AP. DUNIA SEHAT"/>
        <s v="AP. PERDANA"/>
        <s v="AP. MK PLUIT"/>
        <s v="AP. SEHAT REJEKI"/>
        <s v="AP. MEDIS"/>
        <s v="AP. KASIH"/>
        <s v="AP. MALIBU"/>
        <s v="AP.CIPTO"/>
        <s v="AP.TOBA"/>
        <s v="INST. FARMASI KLINIK MATA MAYESTIK"/>
        <s v="AP. MADINAH FARMA"/>
        <s v="AP. ADE"/>
        <s v="AP. KURNIA FARMA"/>
        <s v="AP. AN-NUUR"/>
        <s v="AP. SARI MURAH"/>
        <s v="AP. BUNDARAN SLIPI"/>
        <s v="AP. TAMAN PURING"/>
        <s v="AP. KAIKOUKAI"/>
        <s v="RS. PERTAMINA"/>
        <s v="RS. HERMINA DAAN MOGOT"/>
        <s v="AP. K24 UTAMA"/>
        <s v="AP. LABORA FARMA"/>
        <s v="AP. CMC"/>
        <s v="AP. ANEKA FARMA"/>
        <s v="AP. LISA FARMA"/>
        <s v="AP. HOSANA"/>
        <s v="AP. BUDI JAYA"/>
        <s v="RS. PURI CINERE"/>
        <s v="AP. BINA SEHAT"/>
        <s v="AP. HIDUP BARU"/>
        <s v="AP.ELA FARMA"/>
        <s v="AP. K24 REMPOA"/>
        <s v="AP. PONDOK INDAH"/>
        <s v="AP. TANAH KUSIR"/>
        <s v="AP. PELA"/>
        <s v="AP. RHEIN"/>
        <s v="AP. SS DIABETES CARE"/>
        <s v="AP. ZAM ZAM"/>
        <s v="RS. PURI INDAH"/>
        <s v="RS. PONDOK INDAH"/>
        <s v="AP. BAHAGIA"/>
        <s v="AP. GUNA FARMA"/>
        <s v="RS. BUDI KEMULIAAN"/>
        <s v="RS. KANKER DHARMAIS"/>
        <s v="AP. VIT"/>
        <s v="AP. TEROGONG"/>
        <s v="AP. CIRENDUE"/>
        <s v="AP. BERKAH SALAMAH"/>
        <s v="AP. KIMIA FARMA CIPUTAT"/>
        <s v="AP. KIMIA FARMA CIRENDUE"/>
        <s v="AP. SUPER SAVER"/>
        <s v="AP. PROVITA"/>
        <s v="RSIA. HERMINA CIPUTAT"/>
        <s v="RS. AFFINITY BINTARO"/>
        <s v="AP. FARMARIN BINTARO"/>
        <s v="AP. MERAK"/>
        <s v="AP. CAHAYA"/>
        <s v="AP. BINJAYA"/>
        <s v="AP. KERTA MEDIKA"/>
        <s v="AP. DIVINA PUSPITA"/>
        <s v="AP. OLAF"/>
        <s v="AP. PUTER"/>
        <s v="AP. TAMAN"/>
        <s v="AP. RIDO FARMA"/>
        <s v="AP. ANTASARI"/>
        <s v="AP. SIMAS SEHAT"/>
        <s v="AP. KEKE"/>
        <s v="RS. ROYAL TARUMA"/>
        <s v="AP. HIDUP SEHAT"/>
        <s v="AP. ROXY"/>
        <s v="AP DUNIA MEDIKA"/>
        <s v="AP. LUCKY JAYA"/>
        <s v="AP. BINTANG SEMESTA"/>
        <s v="AP. MUWARDI"/>
        <s v="AP. SEDERHANA"/>
        <s v="AP. DIAMOND"/>
        <s v="PT. KIJANG MAS"/>
        <s v="AP. GOLDEN STAR"/>
        <s v="AP. SANITAS"/>
        <s v="AP. TIMUR JAUH"/>
        <s v="AP. CEMPAKA"/>
        <s v="AP. SS. MEDIKA"/>
        <s v="AP. PRIMA HUSADA"/>
        <s v="AP. MEDICARE"/>
        <s v="AP. KASUARI"/>
        <s v="AP. KARUNIA SEHAT"/>
        <s v="AP. DHIA"/>
        <s v="Apotek Sakura"/>
        <s v="RS Dian Harapan"/>
        <s v="Apotek Rahmat"/>
        <s v="Apotek Matahari"/>
        <s v="Apotek Murah Farma"/>
        <s v="Apotek Harmonis"/>
        <s v="Apotek Medika"/>
        <s v="Apotek Delta Cipta"/>
        <s v="Apotek Murah Farma 2"/>
        <s v="Apotek Sinar Bahari"/>
        <s v="Apotek Waena Jaya/Daud Terang"/>
        <s v="Apotek Ulfa Lia"/>
        <s v="PT. Kimia Farma Apotek"/>
        <s v="Apotek Pelita Jaya Farma"/>
        <s v="Apotek Mitra Sehat Farma"/>
        <s v="Apotek Puspita"/>
        <s v="Apotek Bunda"/>
        <s v="Apotek K-24 Abepura"/>
        <s v="Apotek Rakyat Youtefa"/>
        <s v="Apotek Parama"/>
        <s v="Apotek Aglusia"/>
        <s v="Apotek Segar"/>
        <s v="Apotek Abe Farma"/>
        <s v="PT. ASIH EKA ABADI"/>
        <s v="AP. MUTIARA 1"/>
        <s v="AP. PRIMA"/>
        <s v="AP. GANDUL MEDIKA"/>
        <s v="RISA. KEMANG MEDICAL CENTER"/>
        <s v="AP. K-24 PASAR MINGGU"/>
        <s v="AP. TELEMEDIKA FARMA"/>
        <s v="AP. AJI WARAS"/>
        <s v="AP. BAHAR MEDIKA"/>
        <s v="AP. KIMIA FARMA DEPOK"/>
        <s v="AP. ZAMZAM SIAGA"/>
        <s v="AP. INSAN FARMA BARU"/>
        <s v="AP. JALAN BARU"/>
        <s v="RS. HERMINA MEDIKALOKA HUSAN"/>
        <s v="AP. ERRA MEDIKA"/>
        <s v="AP. NAURA  MEDIKA"/>
        <s v="AP. SEHATI"/>
        <s v="AP. LISNA ASYIFA"/>
        <s v="AP. KARISMA UTAMA"/>
        <s v="AP. SENDANG BUNDA"/>
        <s v="RS. MITRA KELUARGA DEPOK"/>
        <s v="AP. K24 DUREN TIGA"/>
        <s v="AP. SLAMET"/>
        <s v="AP. MEDISHAPE"/>
        <s v="AP. PERMATA JASINDO"/>
        <s v="AP. K.S.C"/>
        <s v="AP. KRISLINA"/>
        <s v="RS. BRAWIJAYA"/>
        <s v="ABADI"/>
        <s v="ADIS FARMA"/>
        <s v="AGUNG"/>
        <s v="AMELIA"/>
        <s v="ANUGERAH"/>
        <s v="ARWANA"/>
        <s v="BINTANG"/>
        <s v="CAHAYA"/>
        <s v="CEMARA"/>
        <s v="CENTRAL"/>
        <s v="CINTA KASIH"/>
        <s v="CIPTA"/>
        <s v="FARMA MEDIKA"/>
        <s v="GAJAH MADA"/>
        <s v="GRAHA"/>
        <s v="HUSADA"/>
        <s v="IMAN BONJOL"/>
        <s v="KENCANA"/>
        <s v="MAKMUR"/>
        <s v="MAKMUR II"/>
        <s v="MANDIRI"/>
        <s v="MANDIRI II"/>
        <s v="MERDEKA TIMUR"/>
        <s v="CV. Apotek MULIA"/>
        <s v="SADAR"/>
        <s v="SAHABAT"/>
        <s v="SARI FARMA"/>
        <s v="SEHAT"/>
        <s v="SEHATI"/>
        <s v="SEI RAYA DALAM"/>
        <s v="SIANTAN JAYA"/>
        <s v="KHARITAS BHAKTI"/>
        <s v="PROMEDIKA"/>
        <s v="MITRA MEDIKA"/>
        <s v="NABASA"/>
        <s v="ANUGERAH BUNDA KHATULISTIWA"/>
        <s v="YARSI"/>
        <s v="Y. DHARMA INSAN/ANTONIUS"/>
        <s v="PT LABORATORIUM "/>
        <s v="PT ALPEN AGUNG RAYA "/>
        <s v="LANCAR"/>
        <s v="RS. AISYAH BOJONEGORO "/>
        <s v="RS. MEDIKA MULIA"/>
        <s v="RS. NADHATUL ULAMA "/>
        <s v="RSUD NGIMBANG "/>
        <s v="RS. MUHAMMADIYAH BARAT "/>
        <s v="RS. NASHRUL UMMAH "/>
        <s v="RS. INTAN MEDIKA LAMONGAN "/>
        <s v="RSI DARUS SYIFA "/>
        <s v="RS. BUNDA "/>
        <s v="RS. SILOAM SURABAYA"/>
        <s v="RS. MUHAMMADIYAH LAMONGAN"/>
        <s v="IBNU SINA BOJONEGORO"/>
        <s v="RSI MUHAMMADIYAH"/>
        <s v="AP. BASUKI RAHMAD BJN"/>
        <s v="AP. PANGSUD BJN "/>
        <s v="AP. K-24"/>
        <s v="AP. BORNEO"/>
        <s v="AP. BANYU URIP "/>
        <s v="AP. SUGENG "/>
        <s v="AP. SEMARANG "/>
        <s v="AP. RAHMAH "/>
        <s v="AP. PUSURA "/>
        <s v="AP. K-24 BOULEVARD "/>
        <s v="AP. ROYAL CLINIC "/>
        <s v="AP. ESA "/>
        <s v="AP. ABDI MULIA "/>
        <s v="AP. TIARA RAYA "/>
        <s v="AP. BRINGIN INDAH "/>
        <s v="AP. K-24 MANUKAN "/>
        <s v="AP. TENGGER 3"/>
        <s v="ASY SYAFAAH "/>
        <s v="AP. ASIKIN FARMA "/>
        <s v="AP. WARAS "/>
        <s v="AP. SEHAT "/>
        <s v="AP. SHA SHA"/>
        <s v="AP. FARADIST "/>
        <s v="AP. BANARAN "/>
        <s v="AP. RONGGOLAWE "/>
        <s v="AP. MAHKOTA"/>
        <s v="AP. BHAKTI "/>
        <s v="AP. NUSA"/>
        <s v="AP. KASIH KARUNIA"/>
        <s v="AP. BUDI JAYA BJN"/>
        <s v="AP. FANNY FARMA"/>
        <s v="AP. HIDAYAH ABADI"/>
        <s v="AP. PEGADAIAN"/>
        <s v="AP. WIRA PRIMA GARUT"/>
        <s v="AP. VALEDA"/>
        <s v="AP. REJEKI"/>
        <s v="AP. SEHAT ABADI GARUT"/>
        <s v="AP. K24"/>
        <s v="AP. MEDIKA UTAMA"/>
        <s v="AP. ASY SYIFA"/>
        <s v="RSU TASIK"/>
        <s v="KLINIK ISTIQOMAH"/>
        <s v="AP. GRAHA MEDIKA"/>
        <s v="RS. PERMATA BUNDA"/>
        <s v="AP. KIMIA FARMA"/>
        <s v="AP. PAJAJARAN"/>
        <s v="AP. RESIK"/>
        <s v="AP. AN NUR"/>
        <m/>
      </sharedItems>
    </cacheField>
    <cacheField name="Channel" numFmtId="0">
      <sharedItems containsBlank="1" count="3">
        <s v="Apotek"/>
        <s v="Rumah Sakit"/>
        <m/>
      </sharedItems>
    </cacheField>
    <cacheField name="Q1" numFmtId="0">
      <sharedItems containsString="0" containsBlank="1" containsNumber="1" containsInteger="1" minValue="1" maxValue="4" count="5">
        <n v="3"/>
        <n v="4"/>
        <n v="2"/>
        <n v="1"/>
        <m/>
      </sharedItems>
    </cacheField>
    <cacheField name="Q2" numFmtId="0">
      <sharedItems containsString="0" containsBlank="1" containsNumber="1" containsInteger="1" minValue="3" maxValue="4"/>
    </cacheField>
    <cacheField name="Q3" numFmtId="0">
      <sharedItems containsString="0" containsBlank="1" containsNumber="1" containsInteger="1" minValue="2" maxValue="4"/>
    </cacheField>
    <cacheField name="Q4" numFmtId="0">
      <sharedItems containsString="0" containsBlank="1" containsNumber="1" containsInteger="1" minValue="1" maxValue="4"/>
    </cacheField>
    <cacheField name="Q5" numFmtId="0">
      <sharedItems containsString="0" containsBlank="1" containsNumber="1" containsInteger="1" minValue="2" maxValue="4"/>
    </cacheField>
    <cacheField name="Q6" numFmtId="0">
      <sharedItems containsString="0" containsBlank="1" containsNumber="1" containsInteger="1" minValue="1" maxValue="4"/>
    </cacheField>
    <cacheField name="Q7" numFmtId="0">
      <sharedItems containsString="0" containsBlank="1" containsNumber="1" containsInteger="1" minValue="2" maxValue="4"/>
    </cacheField>
    <cacheField name="Q8" numFmtId="0">
      <sharedItems containsString="0" containsBlank="1" containsNumber="1" containsInteger="1" minValue="2" maxValue="4"/>
    </cacheField>
    <cacheField name="Q9" numFmtId="0">
      <sharedItems containsString="0" containsBlank="1" containsNumber="1" containsInteger="1" minValue="2" maxValue="4"/>
    </cacheField>
    <cacheField name="Q10" numFmtId="0">
      <sharedItems containsString="0" containsBlank="1" containsNumber="1" containsInteger="1" minValue="1" maxValue="4"/>
    </cacheField>
    <cacheField name="Q11" numFmtId="0">
      <sharedItems containsString="0" containsBlank="1" containsNumber="1" containsInteger="1" minValue="2" maxValue="4"/>
    </cacheField>
    <cacheField name="Q12" numFmtId="0">
      <sharedItems containsString="0" containsBlank="1" containsNumber="1" containsInteger="1" minValue="2" maxValue="4"/>
    </cacheField>
    <cacheField name="Q13" numFmtId="0">
      <sharedItems containsString="0" containsBlank="1" containsNumber="1" containsInteger="1" minValue="2" maxValue="4"/>
    </cacheField>
    <cacheField name="Q14" numFmtId="0">
      <sharedItems containsString="0" containsBlank="1" containsNumber="1" containsInteger="1" minValue="2" maxValue="4"/>
    </cacheField>
    <cacheField name="Q15" numFmtId="0">
      <sharedItems containsString="0" containsBlank="1" containsNumber="1" containsInteger="1" minValue="1" maxValue="4"/>
    </cacheField>
    <cacheField name="Q16" numFmtId="0">
      <sharedItems containsString="0" containsBlank="1" containsNumber="1" containsInteger="1" minValue="1" maxValue="4"/>
    </cacheField>
    <cacheField name="Q17" numFmtId="0">
      <sharedItems containsString="0" containsBlank="1" containsNumber="1" containsInteger="1" minValue="2" maxValue="4"/>
    </cacheField>
    <cacheField name="Q18" numFmtId="0">
      <sharedItems containsString="0" containsBlank="1" containsNumber="1" containsInteger="1" minValue="2" maxValue="4"/>
    </cacheField>
    <cacheField name="Q19" numFmtId="0">
      <sharedItems containsString="0" containsBlank="1" containsNumber="1" containsInteger="1" minValue="2" maxValue="4"/>
    </cacheField>
    <cacheField name="Q20" numFmtId="0">
      <sharedItems containsString="0" containsBlank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istrator" refreshedDate="42632.416364236109" createdVersion="3" refreshedVersion="3" minRefreshableVersion="3" recordCount="4">
  <cacheSource type="worksheet">
    <worksheetSource ref="A33:D37" sheet="Rank"/>
  </cacheSource>
  <cacheFields count="2">
    <cacheField name="Aspek yang Disurvei" numFmtId="0">
      <sharedItems count="4">
        <s v="Ketepatan waktu kunjungan salesman mengambil order"/>
        <s v="Salesman Penampilan Rapih"/>
        <s v="Pengetahuan Salesman mengenai Produk"/>
        <s v="Ketanggapan Salesman dalam membantu menyelesaikan Keluhan "/>
      </sharedItems>
    </cacheField>
    <cacheField name="Priority" numFmtId="0">
      <sharedItems containsSemiMixedTypes="0" containsString="0" containsNumber="1" containsInteger="1" minValue="1" maxValue="4" count="4">
        <n v="2"/>
        <n v="4"/>
        <n v="3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istrator" refreshedDate="42632.417613773148" createdVersion="3" refreshedVersion="3" minRefreshableVersion="3" recordCount="4">
  <cacheSource type="worksheet">
    <worksheetSource ref="M33:P37" sheet="Rank"/>
  </cacheSource>
  <cacheFields count="2">
    <cacheField name="Aspek yang Disurvei" numFmtId="0">
      <sharedItems count="4">
        <s v="Ketepatan waktu kunjungan salesman mengambil order"/>
        <s v="Salesman Penampilan Rapih"/>
        <s v="Pengetahuan Salesman mengenai Produk"/>
        <s v="Ketanggapan Salesman dalam membantu menyelesaikan Keluhan "/>
      </sharedItems>
    </cacheField>
    <cacheField name="Priority" numFmtId="0">
      <sharedItems containsSemiMixedTypes="0" containsString="0" containsNumber="1" containsInteger="1" minValue="1" maxValue="4" count="4">
        <n v="3"/>
        <n v="4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ministrator" refreshedDate="42632.418573379633" createdVersion="3" refreshedVersion="3" minRefreshableVersion="3" recordCount="2">
  <cacheSource type="worksheet">
    <worksheetSource ref="A40:D42" sheet="Rank"/>
  </cacheSource>
  <cacheFields count="2">
    <cacheField name="Aspek yang Disurvei" numFmtId="0">
      <sharedItems count="2">
        <s v="Kesediaan Salesman dalam membantu penyelesaian proses Retur barang"/>
        <s v="Kecepatan pelayanan Retur Barang"/>
      </sharedItems>
    </cacheField>
    <cacheField name="Priority" numFmtId="0">
      <sharedItems containsSemiMixedTypes="0" containsString="0" containsNumber="1" containsInteger="1" minValue="1" maxValue="2" count="2"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ministrator" refreshedDate="42632.41940648148" createdVersion="3" refreshedVersion="3" minRefreshableVersion="3" recordCount="2">
  <cacheSource type="worksheet">
    <worksheetSource ref="G40:J42" sheet="Rank"/>
  </cacheSource>
  <cacheFields count="2">
    <cacheField name="Aspek yang Disurvei" numFmtId="0">
      <sharedItems count="2">
        <s v="Kesediaan Salesman dalam membantu penyelesaian proses Retur barang"/>
        <s v="Kecepatan pelayanan Retur Barang"/>
      </sharedItems>
    </cacheField>
    <cacheField name="Priority" numFmtId="0">
      <sharedItems containsSemiMixedTypes="0" containsString="0" containsNumber="1" containsInteger="1" minValue="1" maxValue="2" count="2"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ministrator" refreshedDate="42632.420087037041" createdVersion="3" refreshedVersion="3" minRefreshableVersion="3" recordCount="2">
  <cacheSource type="worksheet">
    <worksheetSource ref="M40:P42" sheet="Rank"/>
  </cacheSource>
  <cacheFields count="2">
    <cacheField name="Aspek yang Disurvei" numFmtId="0">
      <sharedItems count="2">
        <s v="Kesediaan Salesman dalam membantu penyelesaian proses Retur barang"/>
        <s v="Kecepatan pelayanan Retur Barang"/>
      </sharedItems>
    </cacheField>
    <cacheField name="Priority" numFmtId="0">
      <sharedItems containsSemiMixedTypes="0" containsString="0" containsNumber="1" containsInteger="1" minValue="1" maxValue="2" count="2"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ministrator" refreshedDate="42632.420894675925" createdVersion="3" refreshedVersion="3" minRefreshableVersion="3" recordCount="5">
  <cacheSource type="worksheet">
    <worksheetSource ref="A45:D50" sheet="Rank"/>
  </cacheSource>
  <cacheFields count="2">
    <cacheField name="Aspek yang Disurvei" numFmtId="0">
      <sharedItems count="5"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</sharedItems>
    </cacheField>
    <cacheField name="Priority" numFmtId="0">
      <sharedItems containsSemiMixedTypes="0" containsString="0" containsNumber="1" containsInteger="1" minValue="1" maxValue="5" count="5">
        <n v="5"/>
        <n v="2"/>
        <n v="3"/>
        <n v="1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dministrator" refreshedDate="42632.421413657408" createdVersion="3" refreshedVersion="3" minRefreshableVersion="3" recordCount="5">
  <cacheSource type="worksheet">
    <worksheetSource ref="G45:J50" sheet="Rank"/>
  </cacheSource>
  <cacheFields count="2">
    <cacheField name="Aspek yang Disurvei" numFmtId="0">
      <sharedItems count="5"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</sharedItems>
    </cacheField>
    <cacheField name="Priority" numFmtId="0">
      <sharedItems containsSemiMixedTypes="0" containsString="0" containsNumber="1" containsInteger="1" minValue="1" maxValue="5" count="5">
        <n v="5"/>
        <n v="2"/>
        <n v="3"/>
        <n v="1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dministrator" refreshedDate="42632.42204247685" createdVersion="3" refreshedVersion="3" minRefreshableVersion="3" recordCount="5">
  <cacheSource type="worksheet">
    <worksheetSource ref="M45:P50" sheet="Rank"/>
  </cacheSource>
  <cacheFields count="2">
    <cacheField name="Aspek yang Disurvei" numFmtId="0">
      <sharedItems count="5"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</sharedItems>
    </cacheField>
    <cacheField name="Priority" numFmtId="0">
      <sharedItems containsSemiMixedTypes="0" containsString="0" containsNumber="1" containsInteger="1" minValue="1" maxValue="3" count="3">
        <n v="2"/>
        <n v="1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Administrator" refreshedDate="42632.42296087963" createdVersion="3" refreshedVersion="3" minRefreshableVersion="3" recordCount="3">
  <cacheSource type="worksheet">
    <worksheetSource ref="A53:D56" sheet="Rank"/>
  </cacheSource>
  <cacheFields count="2">
    <cacheField name="Aspek yang Disurvei" numFmtId="0">
      <sharedItems count="3">
        <s v="Penampilan penagih"/>
        <s v="Ketepatan Waktu Kunjungan Penagih"/>
        <s v="Kelengkapan dokumen Penagihan"/>
      </sharedItems>
    </cacheField>
    <cacheField name="Priority" numFmtId="0">
      <sharedItems containsSemiMixedTypes="0" containsString="0" containsNumber="1" containsInteger="1" minValue="1" maxValue="3" count="3"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Administrator" refreshedDate="42632.423616666667" createdVersion="3" refreshedVersion="3" minRefreshableVersion="3" recordCount="3">
  <cacheSource type="worksheet">
    <worksheetSource ref="G53:J56" sheet="Rank"/>
  </cacheSource>
  <cacheFields count="2">
    <cacheField name="Aspek yang Disurvei" numFmtId="0">
      <sharedItems count="3">
        <s v="Penampilan penagih"/>
        <s v="Ketepatan Waktu Kunjungan Penagih"/>
        <s v="Kelengkapan dokumen Penagihan"/>
      </sharedItems>
    </cacheField>
    <cacheField name="Priority" numFmtId="0">
      <sharedItems containsSemiMixedTypes="0" containsString="0" containsNumber="1" containsInteger="1" minValue="1" maxValue="3" count="3">
        <n v="2"/>
        <n v="1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Administrator" refreshedDate="42632.424098263888" createdVersion="3" refreshedVersion="3" minRefreshableVersion="3" recordCount="3">
  <cacheSource type="worksheet">
    <worksheetSource ref="M53:P56" sheet="Rank"/>
  </cacheSource>
  <cacheFields count="2">
    <cacheField name="Aspek yang Disurvei" numFmtId="0">
      <sharedItems count="3">
        <s v="Penampilan penagih"/>
        <s v="Ketepatan Waktu Kunjungan Penagih"/>
        <s v="Kelengkapan dokumen Penagihan"/>
      </sharedItems>
    </cacheField>
    <cacheField name="Priority" numFmtId="0">
      <sharedItems containsSemiMixedTypes="0" containsString="0" containsNumber="1" containsInteger="1" minValue="1" maxValue="3" count="3">
        <n v="3"/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Administrator" refreshedDate="42632.424784143521" createdVersion="3" refreshedVersion="3" minRefreshableVersion="3" recordCount="6">
  <cacheSource type="worksheet">
    <worksheetSource ref="A59:D65" sheet="Rank"/>
  </cacheSource>
  <cacheFields count="2">
    <cacheField name="Aspek yang Disurvei" numFmtId="0">
      <sharedItems count="6"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Priority" numFmtId="0">
      <sharedItems containsSemiMixedTypes="0" containsString="0" containsNumber="1" containsInteger="1" minValue="1" maxValue="6" count="6">
        <n v="1"/>
        <n v="2"/>
        <n v="6"/>
        <n v="5"/>
        <n v="4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refreshedBy="Administrator" refreshedDate="42632.425074537037" createdVersion="3" refreshedVersion="3" minRefreshableVersion="3" recordCount="6">
  <cacheSource type="worksheet">
    <worksheetSource ref="G59:J65" sheet="Rank"/>
  </cacheSource>
  <cacheFields count="2">
    <cacheField name="Aspek yang Disurvei" numFmtId="0">
      <sharedItems count="6"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Priority" numFmtId="0">
      <sharedItems containsSemiMixedTypes="0" containsString="0" containsNumber="1" containsInteger="1" minValue="1" maxValue="6" count="6">
        <n v="1"/>
        <n v="2"/>
        <n v="6"/>
        <n v="5"/>
        <n v="4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refreshedBy="Administrator" refreshedDate="42632.425649421297" createdVersion="3" refreshedVersion="3" minRefreshableVersion="3" recordCount="6">
  <cacheSource type="worksheet">
    <worksheetSource ref="M59:P65" sheet="Rank"/>
  </cacheSource>
  <cacheFields count="2">
    <cacheField name="Aspek yang Disurvei" numFmtId="0">
      <sharedItems count="6"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Priority" numFmtId="0">
      <sharedItems containsSemiMixedTypes="0" containsString="0" containsNumber="1" containsInteger="1" minValue="1" maxValue="6" count="6">
        <n v="6"/>
        <n v="2"/>
        <n v="1"/>
        <n v="4"/>
        <n v="3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refreshedBy="Administrator" refreshedDate="42633.343213773151" createdVersion="3" refreshedVersion="3" minRefreshableVersion="3" recordCount="20">
  <cacheSource type="worksheet">
    <worksheetSource ref="G6:J26" sheet="Rank"/>
  </cacheSource>
  <cacheFields count="2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Priority" numFmtId="0">
      <sharedItems containsSemiMixedTypes="0" containsString="0" containsNumber="1" containsInteger="1" minValue="1" maxValue="20" count="20">
        <n v="8"/>
        <n v="17"/>
        <n v="10"/>
        <n v="2"/>
        <n v="7"/>
        <n v="6"/>
        <n v="5"/>
        <n v="1"/>
        <n v="4"/>
        <n v="20"/>
        <n v="15"/>
        <n v="9"/>
        <n v="13"/>
        <n v="12"/>
        <n v="14" u="1"/>
        <n v="16" u="1"/>
        <n v="18" u="1"/>
        <n v="19" u="1"/>
        <n v="3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refreshedBy="Administrator" refreshedDate="42633.348788425923" createdVersion="3" refreshedVersion="3" minRefreshableVersion="3" recordCount="20">
  <cacheSource type="worksheet">
    <worksheetSource ref="A6:D26" sheet="Rank"/>
  </cacheSource>
  <cacheFields count="2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Priority" numFmtId="0">
      <sharedItems containsSemiMixedTypes="0" containsString="0" containsNumber="1" containsInteger="1" minValue="1" maxValue="20" count="20">
        <n v="13"/>
        <n v="20"/>
        <n v="14"/>
        <n v="12"/>
        <n v="11"/>
        <n v="6"/>
        <n v="19"/>
        <n v="3"/>
        <n v="4"/>
        <n v="1"/>
        <n v="7"/>
        <n v="18"/>
        <n v="16"/>
        <n v="15"/>
        <n v="2"/>
        <n v="5"/>
        <n v="17"/>
        <n v="10"/>
        <n v="9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refreshedBy="Administrator" refreshedDate="42633.348981249997" createdVersion="3" refreshedVersion="3" minRefreshableVersion="3" recordCount="4">
  <cacheSource type="worksheet">
    <worksheetSource ref="G33:J37" sheet="Rank"/>
  </cacheSource>
  <cacheFields count="2">
    <cacheField name="Aspek yang Disurvei" numFmtId="0">
      <sharedItems count="4">
        <s v="Ketepatan waktu kunjungan salesman mengambil order"/>
        <s v="Salesman Penampilan Rapih"/>
        <s v="Pengetahuan Salesman mengenai Produk"/>
        <s v="Ketanggapan Salesman dalam membantu menyelesaikan Keluhan "/>
      </sharedItems>
    </cacheField>
    <cacheField name="Priority" numFmtId="0">
      <sharedItems containsSemiMixedTypes="0" containsString="0" containsNumber="1" containsInteger="1" minValue="1" maxValue="4" count="4">
        <n v="3"/>
        <n v="4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refreshedBy="Administrator" refreshedDate="42633.578189467589" createdVersion="3" refreshedVersion="3" minRefreshableVersion="3" recordCount="20">
  <cacheSource type="worksheet">
    <worksheetSource ref="A6:B26" sheet="Rank"/>
  </cacheSource>
  <cacheFields count="2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 count="19">
        <n v="5"/>
        <n v="4"/>
        <n v="3"/>
        <n v="2"/>
        <n v="1"/>
        <n v="7"/>
        <n v="17"/>
        <n v="10"/>
        <n v="11"/>
        <n v="20"/>
        <n v="9"/>
        <n v="16"/>
        <n v="13"/>
        <n v="6"/>
        <n v="18"/>
        <n v="19"/>
        <n v="12"/>
        <n v="14"/>
        <n v="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refreshedBy="Administrator" refreshedDate="42633.579525694448" createdVersion="3" refreshedVersion="3" minRefreshableVersion="3" recordCount="20">
  <cacheSource type="worksheet">
    <worksheetSource ref="A6:C26" sheet="Rank"/>
  </cacheSource>
  <cacheFields count="3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/>
    </cacheField>
    <cacheField name="Kepentingan" numFmtId="0">
      <sharedItems containsSemiMixedTypes="0" containsString="0" containsNumber="1" containsInteger="1" minValue="1" maxValue="21" count="18">
        <n v="11"/>
        <n v="18"/>
        <n v="8"/>
        <n v="3"/>
        <n v="1"/>
        <n v="4"/>
        <n v="21"/>
        <n v="5"/>
        <n v="6"/>
        <n v="2"/>
        <n v="7"/>
        <n v="20"/>
        <n v="13"/>
        <n v="9"/>
        <n v="17"/>
        <n v="12"/>
        <n v="15"/>
        <n v="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refreshedBy="Administrator" refreshedDate="42633.6395619213" createdVersion="3" refreshedVersion="3" minRefreshableVersion="3" recordCount="20">
  <cacheSource type="worksheet">
    <worksheetSource ref="G6:H26" sheet="Rank"/>
  </cacheSource>
  <cacheFields count="2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 count="20">
        <n v="5"/>
        <n v="6"/>
        <n v="1"/>
        <n v="4"/>
        <n v="2"/>
        <n v="8"/>
        <n v="16"/>
        <n v="11"/>
        <n v="10"/>
        <n v="20"/>
        <n v="9"/>
        <n v="17"/>
        <n v="12"/>
        <n v="3"/>
        <n v="18"/>
        <n v="19"/>
        <n v="7"/>
        <n v="13"/>
        <n v="14"/>
        <n v="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refreshedBy="Administrator" refreshedDate="42633.640190740742" createdVersion="3" refreshedVersion="3" minRefreshableVersion="3" recordCount="20">
  <cacheSource type="worksheet">
    <worksheetSource ref="G6:I26" sheet="Rank"/>
  </cacheSource>
  <cacheFields count="3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/>
    </cacheField>
    <cacheField name="Kepentingan" numFmtId="0">
      <sharedItems containsSemiMixedTypes="0" containsString="0" containsNumber="1" containsInteger="1" minValue="1" maxValue="20" count="19">
        <n v="11"/>
        <n v="18"/>
        <n v="8"/>
        <n v="3"/>
        <n v="2"/>
        <n v="4"/>
        <n v="20"/>
        <n v="6"/>
        <n v="5"/>
        <n v="1"/>
        <n v="7"/>
        <n v="19"/>
        <n v="16"/>
        <n v="9"/>
        <n v="10"/>
        <n v="13"/>
        <n v="12"/>
        <n v="14"/>
        <n v="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refreshedBy="Administrator" refreshedDate="42633.660904976852" createdVersion="3" refreshedVersion="3" minRefreshableVersion="3" recordCount="362">
  <cacheSource type="worksheet">
    <worksheetSource ref="B3:F1048576" sheet="Database"/>
  </cacheSource>
  <cacheFields count="5">
    <cacheField name="Kuisioner Ke" numFmtId="0">
      <sharedItems containsBlank="1" count="2">
        <s v="S1"/>
        <m/>
      </sharedItems>
    </cacheField>
    <cacheField name="Tahun" numFmtId="0">
      <sharedItems containsString="0" containsBlank="1" containsNumber="1" containsInteger="1" minValue="2016" maxValue="2016" count="2">
        <n v="2016"/>
        <m/>
      </sharedItems>
    </cacheField>
    <cacheField name="Cabang" numFmtId="0">
      <sharedItems containsBlank="1" count="10">
        <s v="BAC"/>
        <s v="BGR"/>
        <s v="JBI"/>
        <s v="JK2"/>
        <s v="JPU"/>
        <s v="PJT"/>
        <s v="PTK"/>
        <s v="SB2"/>
        <s v="TSK"/>
        <m/>
      </sharedItems>
    </cacheField>
    <cacheField name="Nama Outlet" numFmtId="0">
      <sharedItems containsBlank="1"/>
    </cacheField>
    <cacheField name="Channel" numFmtId="0">
      <sharedItems containsBlank="1" count="4">
        <s v="Apotek"/>
        <s v="Rumah Sakit"/>
        <s v="Othe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refreshedBy="Administrator" refreshedDate="42633.664685416668" createdVersion="3" refreshedVersion="3" minRefreshableVersion="3" recordCount="20">
  <cacheSource type="worksheet">
    <worksheetSource ref="M6:N26" sheet="Rank"/>
  </cacheSource>
  <cacheFields count="2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 count="14">
        <n v="2"/>
        <n v="3"/>
        <n v="1"/>
        <n v="4"/>
        <n v="6"/>
        <n v="8"/>
        <n v="14"/>
        <n v="9"/>
        <n v="7"/>
        <n v="5"/>
        <n v="20"/>
        <n v="19"/>
        <n v="13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refreshedBy="Administrator" refreshedDate="42633.735043055553" createdVersion="3" refreshedVersion="3" minRefreshableVersion="3" recordCount="20">
  <cacheSource type="worksheet">
    <worksheetSource ref="M6:O26" sheet="Rank"/>
  </cacheSource>
  <cacheFields count="3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/>
    </cacheField>
    <cacheField name="Kepentingan" numFmtId="0">
      <sharedItems containsSemiMixedTypes="0" containsString="0" containsNumber="1" containsInteger="1" minValue="1" maxValue="20" count="11">
        <n v="6"/>
        <n v="11"/>
        <n v="2"/>
        <n v="1"/>
        <n v="16"/>
        <n v="13"/>
        <n v="4"/>
        <n v="15"/>
        <n v="20"/>
        <n v="1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refreshedBy="Administrator" refreshedDate="42633.735099884259" createdVersion="3" refreshedVersion="3" minRefreshableVersion="3" recordCount="20">
  <cacheSource type="worksheet">
    <worksheetSource ref="M6:P26" sheet="Rank"/>
  </cacheSource>
  <cacheFields count="4">
    <cacheField name="Aspek yang Disurvei" numFmtId="0">
      <sharedItems count="20">
        <s v="Ketepatan waktu kunjungan salesman mengambil order"/>
        <s v="Salesman Penampilan Rapih"/>
        <s v="Pengetahuan Salesman mengenai Produk"/>
        <s v="Ketanggapan Salesman dalam membantu menyelesaikan Keluhan "/>
        <s v="Kesediaan Salesman dalam membantu penyelesaian proses Retur barang"/>
        <s v="Kecepatan pelayanan Retur Barang"/>
        <s v="Penampilan Pengirim Barang"/>
        <s v="Kesesuaian antara pesanan dengan barang yang dikirim"/>
        <s v="Kesesuaian Pengiriman Produk Suhu Khusus dengan CDOB"/>
        <s v="Ketepatan waktu dalam pengiriman barang sesuai dengan janji"/>
        <s v="Kejelasan dokumen Pngiriman"/>
        <s v="Penampilan penagih"/>
        <s v="Ketepatan Waktu Kunjungan Penagih"/>
        <s v="Kelengkapan dokumen Penagihan"/>
        <s v="Kemudahan untuk menghubungi nomor telepon Enseval Customer Care (ECC)"/>
        <s v="Kecepatan petugas ECC dalam penerimaan Telepon"/>
        <s v="Keramahan Petugas ECC pada saat terima Telepon "/>
        <s v="Pemahaman/pengetahuan mengenai produk oleh petugas ECC"/>
        <s v="Ketanggapan petugas ECC menerima keluhan pelanggan"/>
        <s v="Kecepatan petugas ECC dalam memberi informasi dan memfollow up keluhan pelanggan"/>
      </sharedItems>
    </cacheField>
    <cacheField name="Kepuasan" numFmtId="0">
      <sharedItems containsSemiMixedTypes="0" containsString="0" containsNumber="1" containsInteger="1" minValue="1" maxValue="20"/>
    </cacheField>
    <cacheField name="Kepentingan" numFmtId="0">
      <sharedItems containsSemiMixedTypes="0" containsString="0" containsNumber="1" containsInteger="1" minValue="1" maxValue="20"/>
    </cacheField>
    <cacheField name="Priority" numFmtId="0">
      <sharedItems containsSemiMixedTypes="0" containsString="0" containsNumber="1" containsInteger="1" minValue="1" maxValue="20" count="12">
        <n v="19"/>
        <n v="20"/>
        <n v="18"/>
        <n v="9"/>
        <n v="4"/>
        <n v="14"/>
        <n v="5"/>
        <n v="16"/>
        <n v="13"/>
        <n v="1"/>
        <n v="3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2">
  <r>
    <x v="0"/>
    <x v="0"/>
    <x v="0"/>
    <x v="0"/>
    <x v="0"/>
    <x v="0"/>
    <n v="3"/>
    <n v="3"/>
    <n v="3"/>
    <n v="3"/>
    <n v="3"/>
    <n v="3"/>
    <n v="3"/>
    <n v="3"/>
    <n v="3"/>
    <n v="3"/>
    <n v="2"/>
    <n v="2"/>
    <n v="3"/>
    <n v="3"/>
    <n v="3"/>
    <n v="3"/>
    <n v="3"/>
    <n v="3"/>
    <n v="3"/>
  </r>
  <r>
    <x v="0"/>
    <x v="0"/>
    <x v="0"/>
    <x v="1"/>
    <x v="0"/>
    <x v="0"/>
    <n v="3"/>
    <n v="3"/>
    <n v="3"/>
    <n v="3"/>
    <n v="3"/>
    <n v="3"/>
    <n v="3"/>
    <n v="3"/>
    <n v="3"/>
    <n v="3"/>
    <n v="2"/>
    <n v="2"/>
    <n v="3"/>
    <n v="3"/>
    <n v="3"/>
    <n v="3"/>
    <n v="3"/>
    <n v="3"/>
    <n v="3"/>
  </r>
  <r>
    <x v="0"/>
    <x v="0"/>
    <x v="0"/>
    <x v="2"/>
    <x v="0"/>
    <x v="0"/>
    <n v="3"/>
    <n v="3"/>
    <n v="3"/>
    <n v="3"/>
    <n v="3"/>
    <n v="3"/>
    <n v="3"/>
    <n v="3"/>
    <n v="3"/>
    <n v="3"/>
    <n v="2"/>
    <n v="2"/>
    <n v="3"/>
    <n v="3"/>
    <n v="3"/>
    <n v="3"/>
    <n v="3"/>
    <n v="3"/>
    <n v="3"/>
  </r>
  <r>
    <x v="0"/>
    <x v="0"/>
    <x v="0"/>
    <x v="3"/>
    <x v="0"/>
    <x v="1"/>
    <n v="4"/>
    <n v="4"/>
    <n v="3"/>
    <n v="4"/>
    <n v="3"/>
    <n v="3"/>
    <n v="3"/>
    <n v="3"/>
    <n v="3"/>
    <n v="4"/>
    <n v="4"/>
    <n v="4"/>
    <n v="4"/>
    <n v="2"/>
    <n v="3"/>
    <n v="3"/>
    <n v="3"/>
    <n v="3"/>
    <n v="3"/>
  </r>
  <r>
    <x v="0"/>
    <x v="0"/>
    <x v="0"/>
    <x v="4"/>
    <x v="0"/>
    <x v="0"/>
    <n v="3"/>
    <n v="4"/>
    <n v="4"/>
    <n v="3"/>
    <n v="3"/>
    <n v="3"/>
    <n v="3"/>
    <n v="3"/>
    <n v="3"/>
    <n v="3"/>
    <n v="3"/>
    <n v="3"/>
    <n v="3"/>
    <n v="2"/>
    <n v="3"/>
    <n v="3"/>
    <n v="4"/>
    <n v="3"/>
    <n v="3"/>
  </r>
  <r>
    <x v="0"/>
    <x v="0"/>
    <x v="0"/>
    <x v="5"/>
    <x v="0"/>
    <x v="1"/>
    <n v="4"/>
    <n v="4"/>
    <n v="4"/>
    <n v="3"/>
    <n v="3"/>
    <n v="3"/>
    <n v="3"/>
    <n v="4"/>
    <n v="3"/>
    <n v="3"/>
    <n v="3"/>
    <n v="3"/>
    <n v="3"/>
    <n v="3"/>
    <n v="3"/>
    <n v="3"/>
    <n v="3"/>
    <n v="3"/>
    <n v="3"/>
  </r>
  <r>
    <x v="0"/>
    <x v="0"/>
    <x v="0"/>
    <x v="6"/>
    <x v="0"/>
    <x v="0"/>
    <n v="3"/>
    <n v="4"/>
    <n v="3"/>
    <n v="3"/>
    <n v="3"/>
    <n v="3"/>
    <n v="3"/>
    <n v="3"/>
    <n v="3"/>
    <n v="4"/>
    <n v="3"/>
    <n v="3"/>
    <n v="3"/>
    <n v="3"/>
    <n v="3"/>
    <n v="3"/>
    <n v="3"/>
    <n v="3"/>
    <n v="3"/>
  </r>
  <r>
    <x v="0"/>
    <x v="0"/>
    <x v="0"/>
    <x v="7"/>
    <x v="0"/>
    <x v="1"/>
    <n v="4"/>
    <n v="4"/>
    <n v="3"/>
    <n v="4"/>
    <n v="3"/>
    <n v="3"/>
    <n v="3"/>
    <n v="3"/>
    <n v="3"/>
    <n v="4"/>
    <n v="4"/>
    <n v="3"/>
    <n v="4"/>
    <n v="2"/>
    <n v="3"/>
    <n v="3"/>
    <n v="3"/>
    <n v="3"/>
    <n v="3"/>
  </r>
  <r>
    <x v="0"/>
    <x v="0"/>
    <x v="0"/>
    <x v="8"/>
    <x v="0"/>
    <x v="1"/>
    <n v="4"/>
    <n v="4"/>
    <n v="3"/>
    <n v="3"/>
    <n v="3"/>
    <n v="3"/>
    <n v="3"/>
    <n v="3"/>
    <n v="3"/>
    <n v="3"/>
    <n v="3"/>
    <n v="4"/>
    <n v="4"/>
    <n v="2"/>
    <n v="3"/>
    <n v="3"/>
    <n v="3"/>
    <n v="3"/>
    <n v="3"/>
  </r>
  <r>
    <x v="0"/>
    <x v="0"/>
    <x v="0"/>
    <x v="9"/>
    <x v="0"/>
    <x v="1"/>
    <n v="4"/>
    <n v="4"/>
    <n v="4"/>
    <n v="3"/>
    <n v="3"/>
    <n v="3"/>
    <n v="3"/>
    <n v="4"/>
    <n v="3"/>
    <n v="3"/>
    <n v="4"/>
    <n v="4"/>
    <n v="4"/>
    <n v="3"/>
    <n v="3"/>
    <n v="4"/>
    <n v="3"/>
    <n v="3"/>
    <n v="3"/>
  </r>
  <r>
    <x v="0"/>
    <x v="0"/>
    <x v="0"/>
    <x v="10"/>
    <x v="0"/>
    <x v="1"/>
    <n v="3"/>
    <n v="4"/>
    <n v="4"/>
    <n v="4"/>
    <n v="3"/>
    <n v="3"/>
    <n v="3"/>
    <n v="4"/>
    <n v="4"/>
    <n v="3"/>
    <n v="3"/>
    <n v="4"/>
    <n v="4"/>
    <n v="3"/>
    <n v="3"/>
    <n v="3"/>
    <n v="3"/>
    <n v="3"/>
    <n v="3"/>
  </r>
  <r>
    <x v="0"/>
    <x v="0"/>
    <x v="0"/>
    <x v="11"/>
    <x v="0"/>
    <x v="1"/>
    <n v="4"/>
    <n v="4"/>
    <n v="4"/>
    <n v="3"/>
    <n v="4"/>
    <n v="3"/>
    <n v="3"/>
    <n v="4"/>
    <n v="3"/>
    <n v="3"/>
    <n v="3"/>
    <n v="4"/>
    <n v="3"/>
    <n v="3"/>
    <n v="3"/>
    <n v="3"/>
    <n v="3"/>
    <n v="3"/>
    <n v="3"/>
  </r>
  <r>
    <x v="0"/>
    <x v="0"/>
    <x v="0"/>
    <x v="12"/>
    <x v="0"/>
    <x v="1"/>
    <n v="4"/>
    <n v="4"/>
    <n v="4"/>
    <n v="4"/>
    <n v="4"/>
    <n v="3"/>
    <n v="4"/>
    <n v="3"/>
    <n v="4"/>
    <n v="3"/>
    <n v="3"/>
    <n v="4"/>
    <n v="4"/>
    <n v="3"/>
    <n v="3"/>
    <n v="3"/>
    <n v="3"/>
    <n v="3"/>
    <n v="3"/>
  </r>
  <r>
    <x v="0"/>
    <x v="0"/>
    <x v="0"/>
    <x v="13"/>
    <x v="0"/>
    <x v="1"/>
    <n v="4"/>
    <n v="4"/>
    <n v="4"/>
    <n v="4"/>
    <n v="4"/>
    <n v="3"/>
    <n v="4"/>
    <n v="3"/>
    <n v="4"/>
    <n v="3"/>
    <n v="3"/>
    <n v="3"/>
    <n v="3"/>
    <n v="3"/>
    <n v="3"/>
    <n v="4"/>
    <n v="3"/>
    <n v="4"/>
    <n v="4"/>
  </r>
  <r>
    <x v="0"/>
    <x v="0"/>
    <x v="0"/>
    <x v="14"/>
    <x v="0"/>
    <x v="1"/>
    <n v="4"/>
    <n v="4"/>
    <n v="4"/>
    <n v="4"/>
    <n v="4"/>
    <n v="3"/>
    <n v="4"/>
    <n v="4"/>
    <n v="3"/>
    <n v="3"/>
    <n v="3"/>
    <n v="4"/>
    <n v="4"/>
    <n v="3"/>
    <n v="4"/>
    <n v="3"/>
    <n v="4"/>
    <n v="4"/>
    <n v="4"/>
  </r>
  <r>
    <x v="0"/>
    <x v="0"/>
    <x v="0"/>
    <x v="15"/>
    <x v="0"/>
    <x v="1"/>
    <n v="4"/>
    <n v="4"/>
    <n v="4"/>
    <n v="4"/>
    <n v="4"/>
    <n v="3"/>
    <n v="4"/>
    <n v="3"/>
    <n v="4"/>
    <n v="4"/>
    <n v="3"/>
    <n v="4"/>
    <n v="4"/>
    <n v="4"/>
    <n v="3"/>
    <n v="4"/>
    <n v="4"/>
    <n v="3"/>
    <n v="4"/>
  </r>
  <r>
    <x v="0"/>
    <x v="0"/>
    <x v="0"/>
    <x v="16"/>
    <x v="0"/>
    <x v="1"/>
    <n v="4"/>
    <n v="4"/>
    <n v="4"/>
    <n v="4"/>
    <n v="4"/>
    <n v="4"/>
    <n v="4"/>
    <n v="4"/>
    <n v="4"/>
    <n v="4"/>
    <n v="3"/>
    <n v="3"/>
    <n v="4"/>
    <n v="3"/>
    <n v="3"/>
    <n v="3"/>
    <n v="3"/>
    <n v="3"/>
    <n v="3"/>
  </r>
  <r>
    <x v="0"/>
    <x v="0"/>
    <x v="0"/>
    <x v="17"/>
    <x v="0"/>
    <x v="0"/>
    <n v="3"/>
    <n v="4"/>
    <n v="3"/>
    <n v="3"/>
    <n v="3"/>
    <n v="3"/>
    <n v="3"/>
    <n v="3"/>
    <n v="3"/>
    <n v="3"/>
    <n v="3"/>
    <n v="3"/>
    <n v="3"/>
    <n v="2"/>
    <n v="3"/>
    <n v="3"/>
    <n v="3"/>
    <n v="3"/>
    <n v="3"/>
  </r>
  <r>
    <x v="0"/>
    <x v="0"/>
    <x v="0"/>
    <x v="18"/>
    <x v="0"/>
    <x v="0"/>
    <n v="3"/>
    <n v="3"/>
    <n v="3"/>
    <n v="3"/>
    <n v="3"/>
    <n v="3"/>
    <n v="3"/>
    <n v="4"/>
    <n v="3"/>
    <n v="3"/>
    <n v="3"/>
    <n v="3"/>
    <n v="3"/>
    <n v="3"/>
    <n v="2"/>
    <n v="3"/>
    <n v="2"/>
    <n v="2"/>
    <n v="2"/>
  </r>
  <r>
    <x v="0"/>
    <x v="0"/>
    <x v="0"/>
    <x v="19"/>
    <x v="1"/>
    <x v="1"/>
    <n v="4"/>
    <n v="3"/>
    <n v="3"/>
    <n v="3"/>
    <n v="3"/>
    <n v="3"/>
    <n v="3"/>
    <n v="3"/>
    <n v="3"/>
    <n v="3"/>
    <n v="4"/>
    <n v="3"/>
    <n v="3"/>
    <n v="3"/>
    <n v="2"/>
    <n v="3"/>
    <n v="2"/>
    <n v="2"/>
    <n v="2"/>
  </r>
  <r>
    <x v="0"/>
    <x v="0"/>
    <x v="1"/>
    <x v="2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2"/>
    <x v="0"/>
    <x v="0"/>
    <n v="3"/>
    <n v="3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3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5"/>
    <x v="0"/>
    <x v="0"/>
    <n v="3"/>
    <n v="3"/>
    <n v="3"/>
    <n v="3"/>
    <n v="2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6"/>
    <x v="0"/>
    <x v="0"/>
    <n v="3"/>
    <n v="3"/>
    <n v="3"/>
    <n v="3"/>
    <n v="3"/>
    <n v="3"/>
    <n v="3"/>
    <n v="3"/>
    <n v="4"/>
    <n v="4"/>
    <n v="3"/>
    <n v="3"/>
    <n v="3"/>
    <n v="3"/>
    <n v="3"/>
    <n v="3"/>
    <n v="3"/>
    <n v="3"/>
    <n v="3"/>
  </r>
  <r>
    <x v="0"/>
    <x v="0"/>
    <x v="1"/>
    <x v="27"/>
    <x v="0"/>
    <x v="0"/>
    <n v="3"/>
    <n v="3"/>
    <n v="3"/>
    <n v="3"/>
    <n v="3"/>
    <n v="3"/>
    <n v="3"/>
    <n v="3"/>
    <n v="3"/>
    <n v="3"/>
    <n v="3"/>
    <n v="3"/>
    <n v="3"/>
    <n v="2"/>
    <n v="3"/>
    <n v="3"/>
    <n v="3"/>
    <n v="3"/>
    <n v="3"/>
  </r>
  <r>
    <x v="0"/>
    <x v="0"/>
    <x v="1"/>
    <x v="2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2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30"/>
    <x v="0"/>
    <x v="0"/>
    <n v="3"/>
    <n v="3"/>
    <n v="3"/>
    <n v="3"/>
    <n v="3"/>
    <n v="3"/>
    <n v="3"/>
    <n v="3"/>
    <n v="3"/>
    <n v="3"/>
    <n v="3"/>
    <n v="3"/>
    <n v="4"/>
    <n v="2"/>
    <n v="3"/>
    <n v="3"/>
    <n v="3"/>
    <n v="3"/>
    <n v="3"/>
  </r>
  <r>
    <x v="0"/>
    <x v="0"/>
    <x v="1"/>
    <x v="31"/>
    <x v="0"/>
    <x v="0"/>
    <n v="3"/>
    <n v="3"/>
    <n v="3"/>
    <n v="3"/>
    <n v="3"/>
    <n v="3"/>
    <n v="4"/>
    <n v="3"/>
    <n v="3"/>
    <n v="3"/>
    <n v="3"/>
    <n v="2"/>
    <n v="3"/>
    <n v="3"/>
    <n v="3"/>
    <n v="3"/>
    <n v="3"/>
    <n v="3"/>
    <n v="3"/>
  </r>
  <r>
    <x v="0"/>
    <x v="0"/>
    <x v="1"/>
    <x v="32"/>
    <x v="0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1"/>
    <x v="33"/>
    <x v="0"/>
    <x v="0"/>
    <n v="3"/>
    <n v="3"/>
    <n v="3"/>
    <n v="3"/>
    <n v="3"/>
    <n v="3"/>
    <n v="3"/>
    <n v="3"/>
    <n v="3"/>
    <n v="3"/>
    <n v="3"/>
    <n v="3"/>
    <n v="3"/>
    <n v="2"/>
    <n v="2"/>
    <n v="2"/>
    <n v="3"/>
    <n v="3"/>
    <n v="3"/>
  </r>
  <r>
    <x v="0"/>
    <x v="0"/>
    <x v="1"/>
    <x v="3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35"/>
    <x v="0"/>
    <x v="0"/>
    <n v="3"/>
    <n v="3"/>
    <n v="3"/>
    <n v="4"/>
    <n v="3"/>
    <n v="3"/>
    <n v="4"/>
    <n v="3"/>
    <n v="3"/>
    <n v="3"/>
    <n v="3"/>
    <n v="3"/>
    <n v="3"/>
    <n v="3"/>
    <n v="3"/>
    <n v="3"/>
    <n v="3"/>
    <n v="3"/>
    <n v="3"/>
  </r>
  <r>
    <x v="0"/>
    <x v="0"/>
    <x v="1"/>
    <x v="36"/>
    <x v="0"/>
    <x v="1"/>
    <n v="3"/>
    <n v="3"/>
    <n v="4"/>
    <n v="3"/>
    <n v="3"/>
    <n v="3"/>
    <n v="4"/>
    <n v="4"/>
    <n v="3"/>
    <n v="4"/>
    <n v="3"/>
    <n v="3"/>
    <n v="3"/>
    <n v="4"/>
    <n v="3"/>
    <n v="3"/>
    <n v="3"/>
    <n v="3"/>
    <n v="3"/>
  </r>
  <r>
    <x v="0"/>
    <x v="0"/>
    <x v="1"/>
    <x v="3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38"/>
    <x v="0"/>
    <x v="0"/>
    <n v="3"/>
    <n v="3"/>
    <n v="3"/>
    <n v="3"/>
    <n v="2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39"/>
    <x v="0"/>
    <x v="0"/>
    <n v="3"/>
    <n v="3"/>
    <n v="3"/>
    <n v="3"/>
    <n v="3"/>
    <n v="3"/>
    <n v="3"/>
    <n v="3"/>
    <n v="3"/>
    <n v="3"/>
    <n v="3"/>
    <n v="3"/>
    <n v="3"/>
    <n v="1"/>
    <n v="2"/>
    <n v="3"/>
    <n v="3"/>
    <n v="3"/>
    <n v="3"/>
  </r>
  <r>
    <x v="0"/>
    <x v="0"/>
    <x v="1"/>
    <x v="4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1"/>
    <x v="0"/>
    <x v="0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49"/>
    <x v="0"/>
    <x v="1"/>
    <n v="3"/>
    <n v="3"/>
    <n v="4"/>
    <n v="4"/>
    <n v="3"/>
    <n v="3"/>
    <n v="4"/>
    <n v="4"/>
    <n v="3"/>
    <n v="3"/>
    <n v="3"/>
    <n v="3"/>
    <n v="3"/>
    <n v="3"/>
    <n v="3"/>
    <n v="3"/>
    <n v="3"/>
    <n v="3"/>
    <n v="3"/>
  </r>
  <r>
    <x v="0"/>
    <x v="0"/>
    <x v="1"/>
    <x v="50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51"/>
    <x v="1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1"/>
    <x v="52"/>
    <x v="1"/>
    <x v="0"/>
    <n v="3"/>
    <n v="3"/>
    <n v="4"/>
    <n v="4"/>
    <n v="3"/>
    <n v="3"/>
    <n v="3"/>
    <n v="4"/>
    <n v="3"/>
    <n v="4"/>
    <n v="3"/>
    <n v="3"/>
    <n v="3"/>
    <n v="3"/>
    <n v="3"/>
    <n v="3"/>
    <n v="3"/>
    <n v="3"/>
    <n v="3"/>
  </r>
  <r>
    <x v="0"/>
    <x v="0"/>
    <x v="1"/>
    <x v="53"/>
    <x v="1"/>
    <x v="0"/>
    <n v="3"/>
    <n v="3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54"/>
    <x v="1"/>
    <x v="0"/>
    <n v="3"/>
    <n v="3"/>
    <n v="4"/>
    <n v="4"/>
    <n v="3"/>
    <n v="3"/>
    <n v="3"/>
    <n v="4"/>
    <n v="3"/>
    <n v="4"/>
    <n v="3"/>
    <n v="3"/>
    <n v="4"/>
    <n v="4"/>
    <n v="3"/>
    <n v="3"/>
    <n v="4"/>
    <n v="3"/>
    <n v="3"/>
  </r>
  <r>
    <x v="0"/>
    <x v="0"/>
    <x v="1"/>
    <x v="55"/>
    <x v="1"/>
    <x v="0"/>
    <n v="3"/>
    <n v="3"/>
    <n v="4"/>
    <n v="4"/>
    <n v="3"/>
    <n v="3"/>
    <n v="4"/>
    <n v="4"/>
    <n v="3"/>
    <n v="3"/>
    <n v="3"/>
    <n v="3"/>
    <n v="3"/>
    <n v="3"/>
    <n v="3"/>
    <n v="3"/>
    <n v="3"/>
    <n v="3"/>
    <n v="3"/>
  </r>
  <r>
    <x v="0"/>
    <x v="0"/>
    <x v="1"/>
    <x v="56"/>
    <x v="1"/>
    <x v="1"/>
    <n v="3"/>
    <n v="4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57"/>
    <x v="1"/>
    <x v="0"/>
    <n v="3"/>
    <n v="3"/>
    <n v="4"/>
    <n v="4"/>
    <n v="4"/>
    <n v="3"/>
    <n v="4"/>
    <n v="4"/>
    <n v="3"/>
    <n v="3"/>
    <n v="3"/>
    <n v="3"/>
    <n v="3"/>
    <n v="3"/>
    <n v="3"/>
    <n v="3"/>
    <n v="3"/>
    <n v="3"/>
    <n v="3"/>
  </r>
  <r>
    <x v="0"/>
    <x v="0"/>
    <x v="1"/>
    <x v="58"/>
    <x v="1"/>
    <x v="0"/>
    <n v="3"/>
    <n v="3"/>
    <n v="3"/>
    <n v="3"/>
    <n v="3"/>
    <n v="3"/>
    <n v="3"/>
    <n v="3"/>
    <n v="3"/>
    <n v="3"/>
    <n v="3"/>
    <n v="3"/>
    <n v="3"/>
    <n v="4"/>
    <n v="3"/>
    <n v="3"/>
    <n v="4"/>
    <n v="3"/>
    <n v="3"/>
  </r>
  <r>
    <x v="0"/>
    <x v="0"/>
    <x v="1"/>
    <x v="59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60"/>
    <x v="1"/>
    <x v="0"/>
    <n v="4"/>
    <n v="4"/>
    <n v="4"/>
    <n v="3"/>
    <n v="3"/>
    <n v="3"/>
    <n v="4"/>
    <n v="4"/>
    <n v="3"/>
    <n v="3"/>
    <n v="3"/>
    <n v="3"/>
    <n v="3"/>
    <n v="3"/>
    <n v="3"/>
    <n v="3"/>
    <n v="3"/>
    <n v="3"/>
    <n v="3"/>
  </r>
  <r>
    <x v="0"/>
    <x v="0"/>
    <x v="1"/>
    <x v="61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62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63"/>
    <x v="1"/>
    <x v="0"/>
    <n v="3"/>
    <n v="3"/>
    <n v="3"/>
    <n v="3"/>
    <n v="3"/>
    <n v="3"/>
    <n v="3"/>
    <n v="3"/>
    <n v="3"/>
    <n v="3"/>
    <n v="3"/>
    <n v="3"/>
    <n v="3"/>
    <n v="2"/>
    <n v="3"/>
    <n v="3"/>
    <n v="3"/>
    <n v="3"/>
    <n v="3"/>
  </r>
  <r>
    <x v="0"/>
    <x v="0"/>
    <x v="1"/>
    <x v="64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1"/>
    <x v="65"/>
    <x v="1"/>
    <x v="1"/>
    <n v="4"/>
    <n v="3"/>
    <n v="4"/>
    <n v="4"/>
    <n v="3"/>
    <n v="4"/>
    <n v="4"/>
    <n v="4"/>
    <n v="2"/>
    <n v="4"/>
    <n v="4"/>
    <n v="4"/>
    <n v="4"/>
    <n v="4"/>
    <n v="4"/>
    <n v="4"/>
    <n v="3"/>
    <n v="4"/>
    <n v="4"/>
  </r>
  <r>
    <x v="0"/>
    <x v="0"/>
    <x v="2"/>
    <x v="66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2"/>
    <x v="6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2"/>
    <x v="67"/>
    <x v="0"/>
    <x v="0"/>
    <n v="3"/>
    <n v="4"/>
    <n v="4"/>
    <n v="4"/>
    <n v="4"/>
    <n v="3"/>
    <n v="4"/>
    <n v="4"/>
    <n v="4"/>
    <n v="4"/>
    <n v="4"/>
    <n v="4"/>
    <n v="4"/>
    <n v="4"/>
    <n v="4"/>
    <n v="4"/>
    <n v="3"/>
    <n v="3"/>
    <n v="3"/>
  </r>
  <r>
    <x v="0"/>
    <x v="0"/>
    <x v="2"/>
    <x v="6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2"/>
    <x v="69"/>
    <x v="0"/>
    <x v="1"/>
    <n v="3"/>
    <n v="3"/>
    <n v="3"/>
    <n v="4"/>
    <n v="3"/>
    <n v="3"/>
    <n v="4"/>
    <n v="3"/>
    <n v="4"/>
    <n v="4"/>
    <n v="3"/>
    <n v="4"/>
    <n v="4"/>
    <n v="4"/>
    <n v="4"/>
    <n v="4"/>
    <n v="3"/>
    <n v="4"/>
    <n v="3"/>
  </r>
  <r>
    <x v="0"/>
    <x v="0"/>
    <x v="2"/>
    <x v="70"/>
    <x v="0"/>
    <x v="2"/>
    <n v="3"/>
    <n v="2"/>
    <n v="2"/>
    <n v="3"/>
    <n v="3"/>
    <n v="3"/>
    <n v="2"/>
    <n v="3"/>
    <n v="3"/>
    <n v="3"/>
    <n v="3"/>
    <n v="3"/>
    <n v="3"/>
    <n v="1"/>
    <n v="2"/>
    <n v="2"/>
    <n v="2"/>
    <n v="2"/>
    <n v="2"/>
  </r>
  <r>
    <x v="0"/>
    <x v="0"/>
    <x v="2"/>
    <x v="7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2"/>
    <x v="72"/>
    <x v="0"/>
    <x v="0"/>
    <n v="3"/>
    <n v="3"/>
    <n v="3"/>
    <n v="3"/>
    <n v="3"/>
    <n v="3"/>
    <n v="3"/>
    <n v="3"/>
    <n v="1"/>
    <n v="3"/>
    <n v="3"/>
    <n v="3"/>
    <n v="3"/>
    <n v="3"/>
    <n v="3"/>
    <n v="3"/>
    <n v="3"/>
    <n v="3"/>
    <n v="3"/>
  </r>
  <r>
    <x v="0"/>
    <x v="0"/>
    <x v="2"/>
    <x v="73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2"/>
    <x v="74"/>
    <x v="0"/>
    <x v="0"/>
    <n v="3"/>
    <n v="3"/>
    <n v="3"/>
    <n v="3"/>
    <n v="3"/>
    <n v="3"/>
    <n v="3"/>
    <n v="3"/>
    <n v="1"/>
    <n v="3"/>
    <n v="3"/>
    <n v="3"/>
    <n v="3"/>
    <n v="3"/>
    <n v="3"/>
    <n v="3"/>
    <n v="3"/>
    <n v="3"/>
    <n v="3"/>
  </r>
  <r>
    <x v="0"/>
    <x v="0"/>
    <x v="2"/>
    <x v="75"/>
    <x v="0"/>
    <x v="0"/>
    <n v="3"/>
    <n v="3"/>
    <n v="3"/>
    <n v="3"/>
    <n v="3"/>
    <n v="3"/>
    <n v="3"/>
    <n v="3"/>
    <n v="3"/>
    <n v="3"/>
    <n v="3"/>
    <n v="3"/>
    <n v="3"/>
    <n v="4"/>
    <n v="3"/>
    <n v="4"/>
    <n v="3"/>
    <n v="3"/>
    <n v="3"/>
  </r>
  <r>
    <x v="0"/>
    <x v="0"/>
    <x v="2"/>
    <x v="76"/>
    <x v="0"/>
    <x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2"/>
    <x v="7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2"/>
    <x v="78"/>
    <x v="0"/>
    <x v="2"/>
    <n v="3"/>
    <n v="3"/>
    <n v="3"/>
    <n v="3"/>
    <n v="3"/>
    <n v="3"/>
    <n v="3"/>
    <n v="3"/>
    <n v="3"/>
    <n v="3"/>
    <n v="3"/>
    <n v="3"/>
    <n v="3"/>
    <n v="1"/>
    <n v="3"/>
    <n v="3"/>
    <n v="3"/>
    <n v="3"/>
    <n v="3"/>
  </r>
  <r>
    <x v="0"/>
    <x v="0"/>
    <x v="2"/>
    <x v="79"/>
    <x v="1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2"/>
    <x v="80"/>
    <x v="1"/>
    <x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81"/>
    <x v="0"/>
    <x v="0"/>
    <n v="3"/>
    <n v="3"/>
    <n v="3"/>
    <n v="3"/>
    <n v="3"/>
    <n v="3"/>
    <n v="3"/>
    <n v="3"/>
    <n v="2"/>
    <n v="3"/>
    <n v="2"/>
    <n v="3"/>
    <n v="3"/>
    <n v="2"/>
    <n v="2"/>
    <n v="3"/>
    <n v="3"/>
    <n v="3"/>
    <n v="2"/>
  </r>
  <r>
    <x v="0"/>
    <x v="0"/>
    <x v="3"/>
    <x v="82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83"/>
    <x v="1"/>
    <x v="0"/>
    <n v="3"/>
    <n v="3"/>
    <n v="3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84"/>
    <x v="1"/>
    <x v="0"/>
    <n v="3"/>
    <n v="3"/>
    <n v="3"/>
    <n v="3"/>
    <n v="3"/>
    <n v="3"/>
    <n v="3"/>
    <n v="3"/>
    <n v="3"/>
    <n v="3"/>
    <n v="3"/>
    <n v="4"/>
    <n v="4"/>
    <n v="3"/>
    <n v="3"/>
    <n v="3"/>
    <n v="3"/>
    <n v="3"/>
    <n v="3"/>
  </r>
  <r>
    <x v="0"/>
    <x v="0"/>
    <x v="3"/>
    <x v="85"/>
    <x v="1"/>
    <x v="1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86"/>
    <x v="0"/>
    <x v="0"/>
    <n v="3"/>
    <n v="3"/>
    <n v="3"/>
    <n v="4"/>
    <n v="4"/>
    <n v="3"/>
    <n v="3"/>
    <n v="3"/>
    <n v="3"/>
    <n v="3"/>
    <n v="3"/>
    <n v="3"/>
    <n v="3"/>
    <n v="4"/>
    <n v="3"/>
    <n v="3"/>
    <n v="3"/>
    <n v="3"/>
    <n v="3"/>
  </r>
  <r>
    <x v="0"/>
    <x v="0"/>
    <x v="3"/>
    <x v="87"/>
    <x v="0"/>
    <x v="1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88"/>
    <x v="0"/>
    <x v="0"/>
    <n v="3"/>
    <n v="3"/>
    <n v="3"/>
    <n v="3"/>
    <n v="3"/>
    <n v="3"/>
    <n v="3"/>
    <n v="3"/>
    <n v="4"/>
    <n v="4"/>
    <n v="3"/>
    <n v="3"/>
    <n v="3"/>
    <n v="3"/>
    <n v="3"/>
    <n v="3"/>
    <n v="3"/>
    <n v="3"/>
    <n v="3"/>
  </r>
  <r>
    <x v="0"/>
    <x v="0"/>
    <x v="3"/>
    <x v="8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5"/>
    <x v="0"/>
    <x v="0"/>
    <n v="3"/>
    <n v="3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97"/>
    <x v="0"/>
    <x v="1"/>
    <n v="4"/>
    <n v="4"/>
    <n v="4"/>
    <n v="4"/>
    <n v="4"/>
    <n v="3"/>
    <n v="3"/>
    <n v="3"/>
    <n v="2"/>
    <n v="3"/>
    <n v="3"/>
    <n v="3"/>
    <n v="3"/>
    <n v="2"/>
    <n v="3"/>
    <n v="3"/>
    <n v="3"/>
    <n v="3"/>
    <n v="3"/>
  </r>
  <r>
    <x v="0"/>
    <x v="0"/>
    <x v="3"/>
    <x v="98"/>
    <x v="0"/>
    <x v="1"/>
    <n v="4"/>
    <n v="4"/>
    <n v="4"/>
    <n v="4"/>
    <n v="4"/>
    <n v="3"/>
    <n v="3"/>
    <n v="3"/>
    <n v="2"/>
    <n v="3"/>
    <n v="3"/>
    <n v="3"/>
    <n v="3"/>
    <n v="2"/>
    <n v="2"/>
    <n v="2"/>
    <n v="3"/>
    <n v="2"/>
    <n v="3"/>
  </r>
  <r>
    <x v="0"/>
    <x v="0"/>
    <x v="3"/>
    <x v="99"/>
    <x v="0"/>
    <x v="1"/>
    <n v="3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0"/>
    <x v="0"/>
    <x v="0"/>
    <n v="3"/>
    <n v="3"/>
    <n v="3"/>
    <n v="3"/>
    <n v="3"/>
    <n v="3"/>
    <n v="3"/>
    <n v="3"/>
    <n v="3"/>
    <n v="3"/>
    <n v="3"/>
    <n v="3"/>
    <n v="3"/>
    <n v="2"/>
    <n v="3"/>
    <n v="2"/>
    <n v="3"/>
    <n v="2"/>
    <n v="2"/>
  </r>
  <r>
    <x v="0"/>
    <x v="0"/>
    <x v="3"/>
    <x v="10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2"/>
    <x v="0"/>
    <x v="0"/>
    <n v="3"/>
    <n v="3"/>
    <n v="3"/>
    <n v="3"/>
    <n v="3"/>
    <n v="3"/>
    <n v="3"/>
    <n v="2"/>
    <n v="3"/>
    <n v="3"/>
    <n v="3"/>
    <n v="3"/>
    <n v="3"/>
    <n v="3"/>
    <n v="2"/>
    <n v="3"/>
    <n v="3"/>
    <n v="2"/>
    <n v="2"/>
  </r>
  <r>
    <x v="0"/>
    <x v="0"/>
    <x v="3"/>
    <x v="10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5"/>
    <x v="0"/>
    <x v="0"/>
    <n v="3"/>
    <n v="3"/>
    <n v="3"/>
    <n v="3"/>
    <n v="3"/>
    <n v="3"/>
    <n v="3"/>
    <n v="3"/>
    <n v="2"/>
    <n v="3"/>
    <n v="3"/>
    <n v="2"/>
    <n v="3"/>
    <n v="3"/>
    <n v="3"/>
    <n v="3"/>
    <n v="3"/>
    <n v="3"/>
    <n v="3"/>
  </r>
  <r>
    <x v="0"/>
    <x v="0"/>
    <x v="3"/>
    <x v="10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09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0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1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2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19"/>
    <x v="0"/>
    <x v="0"/>
    <n v="4"/>
    <n v="3"/>
    <n v="3"/>
    <n v="3"/>
    <n v="3"/>
    <n v="3"/>
    <n v="3"/>
    <n v="3"/>
    <n v="3"/>
    <n v="3"/>
    <n v="3"/>
    <n v="3"/>
    <n v="4"/>
    <n v="3"/>
    <n v="3"/>
    <n v="3"/>
    <n v="3"/>
    <n v="3"/>
    <n v="3"/>
  </r>
  <r>
    <x v="0"/>
    <x v="0"/>
    <x v="3"/>
    <x v="120"/>
    <x v="0"/>
    <x v="0"/>
    <n v="3"/>
    <n v="3"/>
    <n v="3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1"/>
    <x v="0"/>
    <x v="0"/>
    <n v="3"/>
    <n v="3"/>
    <n v="3"/>
    <n v="3"/>
    <n v="3"/>
    <n v="3"/>
    <n v="3"/>
    <n v="3"/>
    <n v="3"/>
    <n v="3"/>
    <n v="3"/>
    <n v="4"/>
    <n v="3"/>
    <n v="3"/>
    <n v="3"/>
    <n v="3"/>
    <n v="3"/>
    <n v="3"/>
    <n v="3"/>
  </r>
  <r>
    <x v="0"/>
    <x v="0"/>
    <x v="3"/>
    <x v="122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3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4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3"/>
    <x v="125"/>
    <x v="0"/>
    <x v="0"/>
    <n v="3"/>
    <n v="4"/>
    <n v="3"/>
    <n v="3"/>
    <n v="3"/>
    <n v="3"/>
    <n v="3"/>
    <n v="3"/>
    <n v="3"/>
    <n v="3"/>
    <n v="3"/>
    <n v="3"/>
    <n v="3"/>
    <n v="3"/>
    <n v="2"/>
    <n v="3"/>
    <n v="3"/>
    <n v="3"/>
    <n v="3"/>
  </r>
  <r>
    <x v="0"/>
    <x v="0"/>
    <x v="3"/>
    <x v="12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29"/>
    <x v="0"/>
    <x v="0"/>
    <n v="3"/>
    <n v="3"/>
    <n v="3"/>
    <n v="3"/>
    <n v="3"/>
    <n v="3"/>
    <n v="4"/>
    <n v="3"/>
    <n v="4"/>
    <n v="3"/>
    <n v="3"/>
    <n v="3"/>
    <n v="3"/>
    <n v="3"/>
    <n v="3"/>
    <n v="3"/>
    <n v="3"/>
    <n v="3"/>
    <n v="3"/>
  </r>
  <r>
    <x v="0"/>
    <x v="0"/>
    <x v="3"/>
    <x v="130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3"/>
    <x v="131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3"/>
    <x v="132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33"/>
    <x v="0"/>
    <x v="1"/>
    <n v="4"/>
    <n v="4"/>
    <n v="4"/>
    <n v="4"/>
    <n v="3"/>
    <n v="3"/>
    <n v="3"/>
    <n v="3"/>
    <n v="3"/>
    <n v="3"/>
    <n v="4"/>
    <n v="4"/>
    <n v="4"/>
    <n v="3"/>
    <n v="2"/>
    <n v="3"/>
    <n v="3"/>
    <n v="3"/>
    <n v="3"/>
  </r>
  <r>
    <x v="0"/>
    <x v="0"/>
    <x v="3"/>
    <x v="134"/>
    <x v="0"/>
    <x v="0"/>
    <n v="3"/>
    <n v="3"/>
    <n v="3"/>
    <n v="3"/>
    <n v="3"/>
    <n v="3"/>
    <n v="3"/>
    <n v="3"/>
    <n v="2"/>
    <n v="3"/>
    <n v="3"/>
    <n v="3"/>
    <n v="3"/>
    <n v="2"/>
    <n v="3"/>
    <n v="3"/>
    <n v="3"/>
    <n v="3"/>
    <n v="3"/>
  </r>
  <r>
    <x v="0"/>
    <x v="0"/>
    <x v="3"/>
    <x v="135"/>
    <x v="0"/>
    <x v="0"/>
    <n v="3"/>
    <n v="3"/>
    <n v="3"/>
    <n v="3"/>
    <n v="3"/>
    <n v="3"/>
    <n v="3"/>
    <n v="3"/>
    <n v="2"/>
    <n v="3"/>
    <n v="3"/>
    <n v="3"/>
    <n v="3"/>
    <n v="2"/>
    <n v="2"/>
    <n v="3"/>
    <n v="3"/>
    <n v="3"/>
    <n v="3"/>
  </r>
  <r>
    <x v="0"/>
    <x v="0"/>
    <x v="3"/>
    <x v="13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2"/>
    <n v="3"/>
    <n v="3"/>
  </r>
  <r>
    <x v="0"/>
    <x v="0"/>
    <x v="3"/>
    <x v="137"/>
    <x v="0"/>
    <x v="0"/>
    <n v="3"/>
    <n v="3"/>
    <n v="3"/>
    <n v="3"/>
    <n v="3"/>
    <n v="3"/>
    <n v="3"/>
    <n v="3"/>
    <n v="2"/>
    <n v="3"/>
    <n v="3"/>
    <n v="3"/>
    <n v="3"/>
    <n v="3"/>
    <n v="2"/>
    <n v="3"/>
    <n v="3"/>
    <n v="3"/>
    <n v="3"/>
  </r>
  <r>
    <x v="0"/>
    <x v="0"/>
    <x v="3"/>
    <x v="13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3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0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3"/>
    <x v="141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3"/>
    <x v="0"/>
    <x v="0"/>
    <n v="3"/>
    <n v="3"/>
    <n v="3"/>
    <n v="3"/>
    <n v="3"/>
    <n v="3"/>
    <n v="3"/>
    <n v="3"/>
    <n v="3"/>
    <n v="3"/>
    <n v="2"/>
    <n v="3"/>
    <n v="3"/>
    <n v="3"/>
    <n v="3"/>
    <n v="3"/>
    <n v="3"/>
    <n v="3"/>
    <n v="3"/>
  </r>
  <r>
    <x v="0"/>
    <x v="0"/>
    <x v="3"/>
    <x v="14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6"/>
    <x v="0"/>
    <x v="0"/>
    <n v="3"/>
    <n v="3"/>
    <n v="3"/>
    <n v="3"/>
    <n v="3"/>
    <n v="2"/>
    <n v="2"/>
    <n v="3"/>
    <n v="3"/>
    <n v="3"/>
    <n v="2"/>
    <n v="3"/>
    <n v="3"/>
    <n v="3"/>
    <n v="3"/>
    <n v="3"/>
    <n v="3"/>
    <n v="3"/>
    <n v="3"/>
  </r>
  <r>
    <x v="0"/>
    <x v="0"/>
    <x v="3"/>
    <x v="147"/>
    <x v="0"/>
    <x v="0"/>
    <n v="3"/>
    <n v="3"/>
    <n v="3"/>
    <n v="3"/>
    <n v="3"/>
    <n v="2"/>
    <n v="3"/>
    <n v="3"/>
    <n v="3"/>
    <n v="3"/>
    <n v="2"/>
    <n v="3"/>
    <n v="3"/>
    <n v="3"/>
    <n v="3"/>
    <n v="3"/>
    <n v="3"/>
    <n v="3"/>
    <n v="3"/>
  </r>
  <r>
    <x v="0"/>
    <x v="0"/>
    <x v="3"/>
    <x v="14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49"/>
    <x v="0"/>
    <x v="0"/>
    <n v="3"/>
    <n v="3"/>
    <n v="3"/>
    <n v="3"/>
    <n v="3"/>
    <n v="2"/>
    <n v="3"/>
    <n v="3"/>
    <n v="3"/>
    <n v="3"/>
    <n v="2"/>
    <n v="3"/>
    <n v="3"/>
    <n v="3"/>
    <n v="3"/>
    <n v="3"/>
    <n v="3"/>
    <n v="3"/>
    <n v="3"/>
  </r>
  <r>
    <x v="0"/>
    <x v="0"/>
    <x v="3"/>
    <x v="150"/>
    <x v="0"/>
    <x v="0"/>
    <n v="3"/>
    <n v="3"/>
    <n v="3"/>
    <n v="3"/>
    <n v="3"/>
    <n v="2"/>
    <n v="3"/>
    <n v="3"/>
    <n v="2"/>
    <n v="3"/>
    <n v="2"/>
    <n v="2"/>
    <n v="3"/>
    <n v="3"/>
    <n v="3"/>
    <n v="3"/>
    <n v="3"/>
    <n v="3"/>
    <n v="3"/>
  </r>
  <r>
    <x v="0"/>
    <x v="0"/>
    <x v="3"/>
    <x v="15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2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3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4"/>
    <x v="0"/>
    <x v="0"/>
    <n v="3"/>
    <n v="3"/>
    <n v="3"/>
    <n v="3"/>
    <n v="3"/>
    <n v="3"/>
    <n v="3"/>
    <n v="3"/>
    <n v="3"/>
    <n v="3"/>
    <n v="3"/>
    <n v="3"/>
    <n v="3"/>
    <n v="4"/>
    <n v="4"/>
    <n v="3"/>
    <n v="3"/>
    <n v="3"/>
    <n v="3"/>
  </r>
  <r>
    <x v="0"/>
    <x v="0"/>
    <x v="3"/>
    <x v="15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4"/>
    <n v="3"/>
    <n v="3"/>
  </r>
  <r>
    <x v="0"/>
    <x v="0"/>
    <x v="3"/>
    <x v="156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7"/>
    <x v="1"/>
    <x v="0"/>
    <n v="3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59"/>
    <x v="0"/>
    <x v="1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0"/>
    <x v="0"/>
    <x v="1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6"/>
    <x v="1"/>
    <x v="0"/>
    <n v="3"/>
    <n v="3"/>
    <n v="3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67"/>
    <x v="1"/>
    <x v="0"/>
    <n v="3"/>
    <n v="3"/>
    <n v="3"/>
    <n v="3"/>
    <n v="3"/>
    <n v="3"/>
    <n v="3"/>
    <n v="3"/>
    <n v="2"/>
    <n v="3"/>
    <n v="3"/>
    <n v="3"/>
    <n v="3"/>
    <n v="3"/>
    <n v="3"/>
    <n v="4"/>
    <n v="3"/>
    <n v="4"/>
    <n v="3"/>
  </r>
  <r>
    <x v="0"/>
    <x v="0"/>
    <x v="3"/>
    <x v="168"/>
    <x v="0"/>
    <x v="0"/>
    <n v="3"/>
    <n v="3"/>
    <n v="4"/>
    <n v="4"/>
    <n v="3"/>
    <n v="3"/>
    <n v="3"/>
    <n v="3"/>
    <n v="3"/>
    <n v="3"/>
    <n v="3"/>
    <n v="3"/>
    <n v="3"/>
    <n v="4"/>
    <n v="3"/>
    <n v="4"/>
    <n v="3"/>
    <n v="3"/>
    <n v="4"/>
  </r>
  <r>
    <x v="0"/>
    <x v="0"/>
    <x v="3"/>
    <x v="169"/>
    <x v="0"/>
    <x v="0"/>
    <n v="3"/>
    <n v="4"/>
    <n v="3"/>
    <n v="3"/>
    <n v="3"/>
    <n v="3"/>
    <n v="3"/>
    <n v="3"/>
    <n v="2"/>
    <n v="3"/>
    <n v="3"/>
    <n v="3"/>
    <n v="3"/>
    <n v="3"/>
    <n v="3"/>
    <n v="4"/>
    <n v="3"/>
    <n v="3"/>
    <n v="4"/>
  </r>
  <r>
    <x v="0"/>
    <x v="0"/>
    <x v="3"/>
    <x v="170"/>
    <x v="0"/>
    <x v="1"/>
    <n v="3"/>
    <n v="3"/>
    <n v="4"/>
    <n v="4"/>
    <n v="3"/>
    <n v="3"/>
    <n v="3"/>
    <n v="3"/>
    <n v="3"/>
    <n v="4"/>
    <n v="3"/>
    <n v="3"/>
    <n v="4"/>
    <n v="3"/>
    <n v="3"/>
    <n v="3"/>
    <n v="4"/>
    <n v="3"/>
    <n v="3"/>
  </r>
  <r>
    <x v="0"/>
    <x v="0"/>
    <x v="3"/>
    <x v="171"/>
    <x v="0"/>
    <x v="0"/>
    <n v="3"/>
    <n v="3"/>
    <n v="3"/>
    <n v="3"/>
    <n v="3"/>
    <n v="3"/>
    <n v="3"/>
    <n v="3"/>
    <n v="3"/>
    <n v="3"/>
    <n v="3"/>
    <n v="3"/>
    <n v="4"/>
    <n v="3"/>
    <n v="3"/>
    <n v="4"/>
    <n v="3"/>
    <n v="4"/>
    <n v="4"/>
  </r>
  <r>
    <x v="0"/>
    <x v="0"/>
    <x v="3"/>
    <x v="172"/>
    <x v="0"/>
    <x v="0"/>
    <n v="3"/>
    <n v="3"/>
    <n v="4"/>
    <n v="3"/>
    <n v="3"/>
    <n v="3"/>
    <n v="3"/>
    <n v="3"/>
    <n v="4"/>
    <n v="3"/>
    <n v="3"/>
    <n v="3"/>
    <n v="4"/>
    <n v="3"/>
    <n v="3"/>
    <n v="4"/>
    <n v="3"/>
    <n v="3"/>
    <n v="4"/>
  </r>
  <r>
    <x v="0"/>
    <x v="0"/>
    <x v="3"/>
    <x v="173"/>
    <x v="0"/>
    <x v="0"/>
    <n v="3"/>
    <n v="3"/>
    <n v="3"/>
    <n v="3"/>
    <n v="3"/>
    <n v="3"/>
    <n v="3"/>
    <n v="3"/>
    <n v="3"/>
    <n v="3"/>
    <n v="3"/>
    <n v="3"/>
    <n v="4"/>
    <n v="3"/>
    <n v="3"/>
    <n v="3"/>
    <n v="3"/>
    <n v="4"/>
    <n v="3"/>
  </r>
  <r>
    <x v="0"/>
    <x v="0"/>
    <x v="3"/>
    <x v="174"/>
    <x v="0"/>
    <x v="0"/>
    <n v="3"/>
    <n v="4"/>
    <n v="4"/>
    <n v="4"/>
    <n v="4"/>
    <n v="3"/>
    <n v="3"/>
    <n v="3"/>
    <n v="3"/>
    <n v="3"/>
    <n v="3"/>
    <n v="3"/>
    <n v="3"/>
    <n v="3"/>
    <n v="3"/>
    <n v="4"/>
    <n v="3"/>
    <n v="3"/>
    <n v="3"/>
  </r>
  <r>
    <x v="0"/>
    <x v="0"/>
    <x v="3"/>
    <x v="175"/>
    <x v="0"/>
    <x v="0"/>
    <n v="3"/>
    <n v="3"/>
    <n v="4"/>
    <n v="4"/>
    <n v="3"/>
    <n v="3"/>
    <n v="3"/>
    <n v="3"/>
    <n v="3"/>
    <n v="3"/>
    <n v="3"/>
    <n v="3"/>
    <n v="3"/>
    <n v="3"/>
    <n v="3"/>
    <n v="4"/>
    <n v="3"/>
    <n v="3"/>
    <n v="3"/>
  </r>
  <r>
    <x v="0"/>
    <x v="0"/>
    <x v="3"/>
    <x v="176"/>
    <x v="0"/>
    <x v="0"/>
    <n v="3"/>
    <n v="4"/>
    <n v="4"/>
    <n v="4"/>
    <n v="4"/>
    <n v="3"/>
    <n v="3"/>
    <n v="3"/>
    <n v="3"/>
    <n v="3"/>
    <n v="3"/>
    <n v="3"/>
    <n v="4"/>
    <n v="3"/>
    <n v="3"/>
    <n v="3"/>
    <n v="3"/>
    <n v="4"/>
    <n v="3"/>
  </r>
  <r>
    <x v="0"/>
    <x v="0"/>
    <x v="3"/>
    <x v="177"/>
    <x v="0"/>
    <x v="0"/>
    <n v="3"/>
    <n v="3"/>
    <n v="3"/>
    <n v="3"/>
    <n v="3"/>
    <n v="3"/>
    <n v="3"/>
    <n v="3"/>
    <n v="3"/>
    <n v="4"/>
    <n v="3"/>
    <n v="3"/>
    <n v="4"/>
    <n v="3"/>
    <n v="3"/>
    <n v="4"/>
    <n v="3"/>
    <n v="3"/>
    <n v="3"/>
  </r>
  <r>
    <x v="0"/>
    <x v="0"/>
    <x v="3"/>
    <x v="178"/>
    <x v="0"/>
    <x v="0"/>
    <n v="3"/>
    <n v="4"/>
    <n v="3"/>
    <n v="3"/>
    <n v="3"/>
    <n v="3"/>
    <n v="3"/>
    <n v="3"/>
    <n v="3"/>
    <n v="3"/>
    <n v="3"/>
    <n v="4"/>
    <n v="3"/>
    <n v="3"/>
    <n v="3"/>
    <n v="3"/>
    <n v="3"/>
    <n v="3"/>
    <n v="3"/>
  </r>
  <r>
    <x v="0"/>
    <x v="0"/>
    <x v="3"/>
    <x v="179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1"/>
    <x v="0"/>
    <x v="0"/>
    <n v="3"/>
    <n v="3"/>
    <n v="3"/>
    <n v="3"/>
    <n v="3"/>
    <n v="3"/>
    <n v="3"/>
    <n v="3"/>
    <n v="3"/>
    <n v="3"/>
    <n v="2"/>
    <n v="2"/>
    <n v="2"/>
    <n v="3"/>
    <n v="3"/>
    <n v="3"/>
    <n v="3"/>
    <n v="3"/>
    <n v="3"/>
  </r>
  <r>
    <x v="0"/>
    <x v="0"/>
    <x v="3"/>
    <x v="182"/>
    <x v="0"/>
    <x v="0"/>
    <n v="3"/>
    <n v="3"/>
    <n v="3"/>
    <n v="3"/>
    <n v="3"/>
    <n v="3"/>
    <n v="3"/>
    <n v="2"/>
    <n v="2"/>
    <n v="2"/>
    <n v="2"/>
    <n v="2"/>
    <n v="3"/>
    <n v="3"/>
    <n v="2"/>
    <n v="2"/>
    <n v="2"/>
    <n v="2"/>
    <n v="3"/>
  </r>
  <r>
    <x v="0"/>
    <x v="0"/>
    <x v="3"/>
    <x v="18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7"/>
    <x v="0"/>
    <x v="1"/>
    <n v="3"/>
    <n v="4"/>
    <n v="4"/>
    <n v="4"/>
    <n v="3"/>
    <n v="4"/>
    <n v="4"/>
    <n v="4"/>
    <n v="4"/>
    <n v="4"/>
    <n v="4"/>
    <n v="3"/>
    <n v="4"/>
    <n v="4"/>
    <n v="3"/>
    <n v="4"/>
    <n v="4"/>
    <n v="4"/>
    <n v="4"/>
  </r>
  <r>
    <x v="0"/>
    <x v="0"/>
    <x v="3"/>
    <x v="18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89"/>
    <x v="0"/>
    <x v="1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x v="0"/>
    <x v="0"/>
    <x v="3"/>
    <x v="190"/>
    <x v="0"/>
    <x v="0"/>
    <n v="3"/>
    <n v="4"/>
    <n v="4"/>
    <n v="3"/>
    <n v="3"/>
    <n v="3"/>
    <n v="4"/>
    <n v="4"/>
    <n v="4"/>
    <n v="4"/>
    <n v="3"/>
    <n v="3"/>
    <n v="3"/>
    <n v="3"/>
    <n v="3"/>
    <n v="3"/>
    <n v="3"/>
    <n v="3"/>
    <n v="3"/>
  </r>
  <r>
    <x v="0"/>
    <x v="0"/>
    <x v="3"/>
    <x v="19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3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3"/>
    <x v="198"/>
    <x v="0"/>
    <x v="0"/>
    <n v="3"/>
    <n v="3"/>
    <n v="4"/>
    <n v="4"/>
    <n v="3"/>
    <n v="3"/>
    <n v="3"/>
    <n v="3"/>
    <n v="3"/>
    <n v="3"/>
    <n v="3"/>
    <n v="3"/>
    <n v="4"/>
    <n v="3"/>
    <n v="3"/>
    <n v="4"/>
    <n v="3"/>
    <n v="3"/>
    <n v="3"/>
  </r>
  <r>
    <x v="0"/>
    <x v="0"/>
    <x v="3"/>
    <x v="199"/>
    <x v="0"/>
    <x v="0"/>
    <n v="3"/>
    <n v="3"/>
    <n v="3"/>
    <n v="4"/>
    <n v="3"/>
    <n v="3"/>
    <n v="3"/>
    <n v="3"/>
    <n v="3"/>
    <n v="3"/>
    <n v="3"/>
    <n v="4"/>
    <n v="4"/>
    <n v="3"/>
    <n v="3"/>
    <n v="4"/>
    <n v="4"/>
    <n v="3"/>
    <n v="4"/>
  </r>
  <r>
    <x v="0"/>
    <x v="0"/>
    <x v="3"/>
    <x v="200"/>
    <x v="0"/>
    <x v="0"/>
    <n v="3"/>
    <n v="3"/>
    <n v="4"/>
    <n v="4"/>
    <n v="3"/>
    <n v="3"/>
    <n v="3"/>
    <n v="3"/>
    <n v="3"/>
    <n v="3"/>
    <n v="3"/>
    <n v="3"/>
    <n v="4"/>
    <n v="3"/>
    <n v="3"/>
    <n v="3"/>
    <n v="3"/>
    <n v="3"/>
    <n v="3"/>
  </r>
  <r>
    <x v="0"/>
    <x v="0"/>
    <x v="4"/>
    <x v="201"/>
    <x v="0"/>
    <x v="0"/>
    <n v="4"/>
    <n v="4"/>
    <n v="4"/>
    <n v="4"/>
    <n v="4"/>
    <n v="3"/>
    <n v="3"/>
    <n v="3"/>
    <n v="2"/>
    <n v="3"/>
    <n v="3"/>
    <n v="4"/>
    <n v="3"/>
    <n v="3"/>
    <n v="3"/>
    <n v="4"/>
    <n v="3"/>
    <n v="3"/>
    <n v="3"/>
  </r>
  <r>
    <x v="0"/>
    <x v="0"/>
    <x v="4"/>
    <x v="202"/>
    <x v="1"/>
    <x v="1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03"/>
    <x v="0"/>
    <x v="0"/>
    <n v="3"/>
    <n v="3"/>
    <n v="3"/>
    <n v="3"/>
    <n v="3"/>
    <n v="3"/>
    <n v="3"/>
    <n v="3"/>
    <n v="3"/>
    <n v="3"/>
    <n v="3"/>
    <n v="2"/>
    <n v="3"/>
    <n v="3"/>
    <n v="3"/>
    <n v="3"/>
    <n v="3"/>
    <n v="2"/>
    <n v="2"/>
  </r>
  <r>
    <x v="0"/>
    <x v="0"/>
    <x v="4"/>
    <x v="204"/>
    <x v="0"/>
    <x v="0"/>
    <n v="3"/>
    <n v="3"/>
    <n v="3"/>
    <n v="3"/>
    <n v="3"/>
    <n v="3"/>
    <n v="3"/>
    <n v="3"/>
    <n v="2"/>
    <n v="3"/>
    <n v="3"/>
    <n v="2"/>
    <n v="3"/>
    <n v="3"/>
    <n v="3"/>
    <n v="3"/>
    <n v="3"/>
    <n v="3"/>
    <n v="2"/>
  </r>
  <r>
    <x v="0"/>
    <x v="0"/>
    <x v="4"/>
    <x v="205"/>
    <x v="0"/>
    <x v="0"/>
    <n v="3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06"/>
    <x v="0"/>
    <x v="0"/>
    <n v="3"/>
    <n v="3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0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08"/>
    <x v="0"/>
    <x v="0"/>
    <n v="3"/>
    <n v="3"/>
    <n v="3"/>
    <n v="4"/>
    <n v="3"/>
    <n v="3"/>
    <n v="3"/>
    <n v="2"/>
    <n v="2"/>
    <n v="3"/>
    <n v="2"/>
    <n v="3"/>
    <n v="3"/>
    <n v="2"/>
    <n v="3"/>
    <n v="3"/>
    <n v="3"/>
    <n v="3"/>
    <n v="2"/>
  </r>
  <r>
    <x v="0"/>
    <x v="0"/>
    <x v="4"/>
    <x v="209"/>
    <x v="0"/>
    <x v="2"/>
    <n v="4"/>
    <n v="4"/>
    <n v="3"/>
    <n v="4"/>
    <n v="4"/>
    <n v="4"/>
    <n v="3"/>
    <n v="4"/>
    <n v="3"/>
    <n v="3"/>
    <n v="4"/>
    <n v="4"/>
    <n v="3"/>
    <n v="4"/>
    <n v="3"/>
    <n v="4"/>
    <n v="4"/>
    <n v="3"/>
    <n v="2"/>
  </r>
  <r>
    <x v="0"/>
    <x v="0"/>
    <x v="4"/>
    <x v="210"/>
    <x v="0"/>
    <x v="0"/>
    <n v="3"/>
    <n v="4"/>
    <n v="4"/>
    <n v="3"/>
    <n v="3"/>
    <n v="3"/>
    <n v="4"/>
    <n v="3"/>
    <n v="3"/>
    <n v="4"/>
    <n v="3"/>
    <n v="3"/>
    <n v="3"/>
    <n v="3"/>
    <n v="3"/>
    <n v="3"/>
    <n v="3"/>
    <n v="3"/>
    <n v="3"/>
  </r>
  <r>
    <x v="0"/>
    <x v="0"/>
    <x v="4"/>
    <x v="211"/>
    <x v="0"/>
    <x v="2"/>
    <n v="4"/>
    <n v="3"/>
    <n v="4"/>
    <n v="4"/>
    <n v="4"/>
    <n v="3"/>
    <n v="3"/>
    <n v="4"/>
    <n v="3"/>
    <n v="4"/>
    <n v="4"/>
    <n v="3"/>
    <n v="3"/>
    <n v="4"/>
    <n v="4"/>
    <n v="4"/>
    <n v="4"/>
    <n v="3"/>
    <n v="3"/>
  </r>
  <r>
    <x v="0"/>
    <x v="0"/>
    <x v="4"/>
    <x v="212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13"/>
    <x v="0"/>
    <x v="0"/>
    <n v="4"/>
    <n v="3"/>
    <n v="3"/>
    <n v="4"/>
    <n v="3"/>
    <n v="3"/>
    <n v="3"/>
    <n v="3"/>
    <n v="3"/>
    <n v="3"/>
    <n v="3"/>
    <n v="2"/>
    <n v="3"/>
    <n v="2"/>
    <n v="2"/>
    <n v="4"/>
    <n v="3"/>
    <n v="3"/>
    <n v="3"/>
  </r>
  <r>
    <x v="0"/>
    <x v="0"/>
    <x v="4"/>
    <x v="214"/>
    <x v="0"/>
    <x v="0"/>
    <n v="3"/>
    <n v="3"/>
    <n v="3"/>
    <n v="4"/>
    <n v="4"/>
    <n v="3"/>
    <n v="3"/>
    <n v="3"/>
    <n v="3"/>
    <n v="3"/>
    <n v="3"/>
    <n v="3"/>
    <n v="3"/>
    <n v="3"/>
    <n v="3"/>
    <n v="4"/>
    <n v="4"/>
    <n v="4"/>
    <n v="4"/>
  </r>
  <r>
    <x v="0"/>
    <x v="0"/>
    <x v="4"/>
    <x v="215"/>
    <x v="0"/>
    <x v="0"/>
    <n v="4"/>
    <n v="4"/>
    <n v="4"/>
    <n v="4"/>
    <n v="4"/>
    <n v="3"/>
    <n v="4"/>
    <n v="3"/>
    <n v="2"/>
    <n v="3"/>
    <n v="2"/>
    <n v="3"/>
    <n v="3"/>
    <n v="4"/>
    <n v="4"/>
    <n v="4"/>
    <n v="4"/>
    <n v="4"/>
    <n v="4"/>
  </r>
  <r>
    <x v="0"/>
    <x v="0"/>
    <x v="4"/>
    <x v="216"/>
    <x v="0"/>
    <x v="0"/>
    <n v="3"/>
    <n v="3"/>
    <n v="3"/>
    <n v="3"/>
    <n v="3"/>
    <n v="3"/>
    <n v="3"/>
    <n v="4"/>
    <n v="3"/>
    <n v="3"/>
    <n v="3"/>
    <n v="3"/>
    <n v="3"/>
    <n v="3"/>
    <n v="3"/>
    <n v="3"/>
    <n v="3"/>
    <n v="3"/>
    <n v="3"/>
  </r>
  <r>
    <x v="0"/>
    <x v="0"/>
    <x v="4"/>
    <x v="217"/>
    <x v="0"/>
    <x v="0"/>
    <n v="4"/>
    <n v="3"/>
    <n v="4"/>
    <n v="3"/>
    <n v="4"/>
    <n v="4"/>
    <n v="3"/>
    <n v="3"/>
    <n v="3"/>
    <n v="3"/>
    <n v="3"/>
    <n v="3"/>
    <n v="3"/>
    <n v="3"/>
    <n v="3"/>
    <n v="3"/>
    <n v="3"/>
    <n v="3"/>
    <n v="3"/>
  </r>
  <r>
    <x v="0"/>
    <x v="0"/>
    <x v="4"/>
    <x v="21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19"/>
    <x v="0"/>
    <x v="0"/>
    <n v="3"/>
    <n v="3"/>
    <n v="3"/>
    <n v="3"/>
    <n v="3"/>
    <n v="3"/>
    <n v="2"/>
    <n v="3"/>
    <n v="2"/>
    <n v="3"/>
    <n v="3"/>
    <n v="3"/>
    <n v="3"/>
    <n v="3"/>
    <n v="3"/>
    <n v="3"/>
    <n v="3"/>
    <n v="3"/>
    <n v="3"/>
  </r>
  <r>
    <x v="0"/>
    <x v="0"/>
    <x v="4"/>
    <x v="22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4"/>
    <x v="221"/>
    <x v="0"/>
    <x v="0"/>
    <n v="3"/>
    <n v="4"/>
    <n v="4"/>
    <n v="4"/>
    <n v="4"/>
    <n v="3"/>
    <n v="4"/>
    <n v="3"/>
    <n v="3"/>
    <n v="4"/>
    <n v="3"/>
    <n v="3"/>
    <n v="3"/>
    <n v="4"/>
    <n v="4"/>
    <n v="4"/>
    <n v="4"/>
    <n v="4"/>
    <n v="4"/>
  </r>
  <r>
    <x v="0"/>
    <x v="0"/>
    <x v="4"/>
    <x v="222"/>
    <x v="0"/>
    <x v="1"/>
    <n v="3"/>
    <n v="4"/>
    <n v="3"/>
    <n v="4"/>
    <n v="4"/>
    <n v="3"/>
    <n v="3"/>
    <n v="3"/>
    <n v="3"/>
    <n v="3"/>
    <n v="3"/>
    <n v="3"/>
    <n v="3"/>
    <n v="3"/>
    <n v="3"/>
    <n v="4"/>
    <n v="3"/>
    <n v="3"/>
    <n v="3"/>
  </r>
  <r>
    <x v="0"/>
    <x v="0"/>
    <x v="4"/>
    <x v="223"/>
    <x v="0"/>
    <x v="0"/>
    <n v="3"/>
    <n v="3"/>
    <n v="3"/>
    <n v="2"/>
    <n v="2"/>
    <n v="3"/>
    <n v="3"/>
    <n v="3"/>
    <n v="2"/>
    <n v="3"/>
    <n v="3"/>
    <n v="3"/>
    <n v="3"/>
    <n v="3"/>
    <n v="3"/>
    <n v="4"/>
    <n v="3"/>
    <n v="3"/>
    <n v="3"/>
  </r>
  <r>
    <x v="0"/>
    <x v="0"/>
    <x v="5"/>
    <x v="224"/>
    <x v="0"/>
    <x v="0"/>
    <n v="3"/>
    <n v="3"/>
    <n v="1"/>
    <n v="2"/>
    <n v="1"/>
    <n v="3"/>
    <n v="3"/>
    <n v="3"/>
    <n v="3"/>
    <n v="3"/>
    <n v="3"/>
    <n v="3"/>
    <n v="3"/>
    <n v="1"/>
    <n v="3"/>
    <n v="3"/>
    <n v="3"/>
    <n v="3"/>
    <n v="2"/>
  </r>
  <r>
    <x v="0"/>
    <x v="0"/>
    <x v="5"/>
    <x v="42"/>
    <x v="0"/>
    <x v="0"/>
    <n v="3"/>
    <n v="3"/>
    <n v="3"/>
    <n v="4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5"/>
    <x v="225"/>
    <x v="0"/>
    <x v="0"/>
    <n v="3"/>
    <n v="2"/>
    <n v="4"/>
    <n v="3"/>
    <n v="3"/>
    <n v="3"/>
    <n v="3"/>
    <n v="3"/>
    <n v="4"/>
    <n v="3"/>
    <n v="3"/>
    <n v="3"/>
    <n v="3"/>
    <n v="3"/>
    <n v="3"/>
    <n v="3"/>
    <n v="3"/>
    <n v="3"/>
    <n v="3"/>
  </r>
  <r>
    <x v="0"/>
    <x v="0"/>
    <x v="5"/>
    <x v="226"/>
    <x v="0"/>
    <x v="0"/>
    <n v="3"/>
    <n v="3"/>
    <n v="2"/>
    <n v="2"/>
    <n v="3"/>
    <n v="3"/>
    <n v="3"/>
    <n v="3"/>
    <n v="3"/>
    <n v="3"/>
    <n v="3"/>
    <n v="4"/>
    <n v="4"/>
    <n v="3"/>
    <n v="3"/>
    <n v="3"/>
    <n v="2"/>
    <n v="3"/>
    <n v="2"/>
  </r>
  <r>
    <x v="0"/>
    <x v="0"/>
    <x v="5"/>
    <x v="227"/>
    <x v="0"/>
    <x v="1"/>
    <n v="4"/>
    <n v="4"/>
    <n v="4"/>
    <n v="3"/>
    <n v="3"/>
    <n v="3"/>
    <n v="3"/>
    <n v="3"/>
    <n v="3"/>
    <n v="3"/>
    <n v="3"/>
    <n v="3"/>
    <n v="3"/>
    <n v="4"/>
    <n v="4"/>
    <n v="4"/>
    <n v="4"/>
    <n v="4"/>
    <n v="3"/>
  </r>
  <r>
    <x v="0"/>
    <x v="0"/>
    <x v="5"/>
    <x v="228"/>
    <x v="1"/>
    <x v="1"/>
    <n v="4"/>
    <n v="4"/>
    <n v="4"/>
    <n v="4"/>
    <n v="4"/>
    <n v="3"/>
    <n v="3"/>
    <n v="3"/>
    <n v="3"/>
    <n v="3"/>
    <n v="3"/>
    <n v="3"/>
    <n v="3"/>
    <n v="4"/>
    <n v="4"/>
    <n v="4"/>
    <n v="4"/>
    <n v="4"/>
    <n v="4"/>
  </r>
  <r>
    <x v="0"/>
    <x v="0"/>
    <x v="5"/>
    <x v="229"/>
    <x v="0"/>
    <x v="0"/>
    <n v="3"/>
    <n v="3"/>
    <n v="3"/>
    <n v="3"/>
    <n v="3"/>
    <n v="3"/>
    <n v="3"/>
    <n v="3"/>
    <n v="3"/>
    <n v="3"/>
    <n v="3"/>
    <n v="2"/>
    <n v="3"/>
    <n v="3"/>
    <n v="3"/>
    <n v="3"/>
    <n v="3"/>
    <n v="3"/>
    <n v="3"/>
  </r>
  <r>
    <x v="0"/>
    <x v="0"/>
    <x v="5"/>
    <x v="230"/>
    <x v="0"/>
    <x v="2"/>
    <n v="3"/>
    <n v="2"/>
    <n v="3"/>
    <n v="2"/>
    <n v="1"/>
    <n v="3"/>
    <n v="3"/>
    <n v="3"/>
    <n v="3"/>
    <n v="3"/>
    <n v="3"/>
    <n v="2"/>
    <n v="3"/>
    <n v="3"/>
    <n v="2"/>
    <n v="3"/>
    <n v="3"/>
    <n v="3"/>
    <n v="2"/>
  </r>
  <r>
    <x v="0"/>
    <x v="0"/>
    <x v="5"/>
    <x v="23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32"/>
    <x v="0"/>
    <x v="1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33"/>
    <x v="0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5"/>
    <x v="23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3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36"/>
    <x v="0"/>
    <x v="0"/>
    <n v="3"/>
    <n v="3"/>
    <n v="3"/>
    <n v="3"/>
    <n v="3"/>
    <n v="3"/>
    <n v="3"/>
    <n v="3"/>
    <n v="3"/>
    <n v="3"/>
    <n v="3"/>
    <n v="3"/>
    <n v="4"/>
    <n v="4"/>
    <n v="4"/>
    <n v="4"/>
    <n v="4"/>
    <n v="3"/>
    <n v="4"/>
  </r>
  <r>
    <x v="0"/>
    <x v="0"/>
    <x v="5"/>
    <x v="237"/>
    <x v="1"/>
    <x v="0"/>
    <n v="3"/>
    <n v="3"/>
    <n v="3"/>
    <n v="3"/>
    <n v="3"/>
    <n v="3"/>
    <n v="2"/>
    <n v="4"/>
    <n v="2"/>
    <n v="3"/>
    <n v="3"/>
    <n v="3"/>
    <n v="3"/>
    <n v="4"/>
    <n v="3"/>
    <n v="3"/>
    <n v="4"/>
    <n v="3"/>
    <n v="3"/>
  </r>
  <r>
    <x v="0"/>
    <x v="0"/>
    <x v="5"/>
    <x v="23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3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40"/>
    <x v="0"/>
    <x v="0"/>
    <n v="3"/>
    <n v="4"/>
    <n v="3"/>
    <n v="3"/>
    <n v="4"/>
    <n v="3"/>
    <n v="4"/>
    <n v="3"/>
    <n v="4"/>
    <n v="4"/>
    <n v="3"/>
    <n v="3"/>
    <n v="3"/>
    <n v="3"/>
    <n v="3"/>
    <n v="4"/>
    <n v="3"/>
    <n v="3"/>
    <n v="3"/>
  </r>
  <r>
    <x v="0"/>
    <x v="0"/>
    <x v="5"/>
    <x v="241"/>
    <x v="0"/>
    <x v="1"/>
    <n v="3"/>
    <n v="3"/>
    <n v="3"/>
    <n v="4"/>
    <n v="4"/>
    <n v="3"/>
    <n v="3"/>
    <n v="3"/>
    <n v="3"/>
    <n v="3"/>
    <n v="3"/>
    <n v="3"/>
    <n v="3"/>
    <n v="3"/>
    <n v="3"/>
    <n v="4"/>
    <n v="4"/>
    <n v="3"/>
    <n v="3"/>
  </r>
  <r>
    <x v="0"/>
    <x v="0"/>
    <x v="5"/>
    <x v="242"/>
    <x v="0"/>
    <x v="0"/>
    <n v="3"/>
    <n v="4"/>
    <n v="3"/>
    <n v="3"/>
    <n v="2"/>
    <n v="3"/>
    <n v="3"/>
    <n v="3"/>
    <n v="2"/>
    <n v="3"/>
    <n v="3"/>
    <n v="3"/>
    <n v="3"/>
    <n v="3"/>
    <n v="2"/>
    <n v="3"/>
    <n v="3"/>
    <n v="3"/>
    <n v="2"/>
  </r>
  <r>
    <x v="0"/>
    <x v="0"/>
    <x v="5"/>
    <x v="243"/>
    <x v="0"/>
    <x v="0"/>
    <n v="3"/>
    <n v="3"/>
    <n v="3"/>
    <n v="3"/>
    <n v="3"/>
    <n v="3"/>
    <n v="3"/>
    <n v="3"/>
    <n v="3"/>
    <n v="3"/>
    <n v="3"/>
    <n v="3"/>
    <n v="3"/>
    <n v="4"/>
    <n v="4"/>
    <n v="3"/>
    <n v="3"/>
    <n v="3"/>
    <n v="3"/>
  </r>
  <r>
    <x v="0"/>
    <x v="0"/>
    <x v="5"/>
    <x v="244"/>
    <x v="1"/>
    <x v="0"/>
    <n v="3"/>
    <n v="3"/>
    <n v="3"/>
    <n v="3"/>
    <n v="3"/>
    <n v="2"/>
    <n v="3"/>
    <n v="3"/>
    <n v="3"/>
    <n v="3"/>
    <n v="3"/>
    <n v="3"/>
    <n v="3"/>
    <n v="2"/>
    <n v="2"/>
    <n v="3"/>
    <n v="3"/>
    <n v="3"/>
    <n v="3"/>
  </r>
  <r>
    <x v="0"/>
    <x v="0"/>
    <x v="5"/>
    <x v="24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46"/>
    <x v="0"/>
    <x v="1"/>
    <n v="3"/>
    <n v="3"/>
    <n v="3"/>
    <n v="3"/>
    <n v="4"/>
    <n v="3"/>
    <n v="4"/>
    <n v="4"/>
    <n v="4"/>
    <n v="4"/>
    <n v="3"/>
    <n v="3"/>
    <n v="4"/>
    <n v="3"/>
    <n v="4"/>
    <n v="4"/>
    <n v="3"/>
    <n v="3"/>
    <n v="3"/>
  </r>
  <r>
    <x v="0"/>
    <x v="0"/>
    <x v="5"/>
    <x v="247"/>
    <x v="0"/>
    <x v="0"/>
    <n v="3"/>
    <n v="3"/>
    <n v="2"/>
    <n v="3"/>
    <n v="3"/>
    <n v="3"/>
    <n v="3"/>
    <n v="3"/>
    <n v="4"/>
    <n v="4"/>
    <n v="3"/>
    <n v="3"/>
    <n v="3"/>
    <n v="3"/>
    <n v="1"/>
    <n v="2"/>
    <n v="2"/>
    <n v="2"/>
    <n v="1"/>
  </r>
  <r>
    <x v="0"/>
    <x v="0"/>
    <x v="5"/>
    <x v="24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4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5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5"/>
    <x v="251"/>
    <x v="1"/>
    <x v="3"/>
    <n v="3"/>
    <n v="3"/>
    <n v="1"/>
    <n v="3"/>
    <n v="3"/>
    <n v="3"/>
    <n v="2"/>
    <n v="3"/>
    <n v="2"/>
    <n v="2"/>
    <n v="3"/>
    <n v="3"/>
    <n v="3"/>
    <n v="3"/>
    <n v="3"/>
    <n v="3"/>
    <n v="3"/>
    <n v="3"/>
    <n v="3"/>
  </r>
  <r>
    <x v="0"/>
    <x v="0"/>
    <x v="6"/>
    <x v="252"/>
    <x v="0"/>
    <x v="0"/>
    <n v="3"/>
    <n v="3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53"/>
    <x v="0"/>
    <x v="1"/>
    <n v="4"/>
    <n v="4"/>
    <n v="4"/>
    <n v="4"/>
    <n v="4"/>
    <n v="3"/>
    <n v="4"/>
    <n v="4"/>
    <n v="4"/>
    <n v="4"/>
    <n v="3"/>
    <n v="4"/>
    <n v="4"/>
    <n v="4"/>
    <n v="4"/>
    <n v="4"/>
    <n v="4"/>
    <n v="4"/>
    <n v="4"/>
  </r>
  <r>
    <x v="0"/>
    <x v="0"/>
    <x v="6"/>
    <x v="25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55"/>
    <x v="0"/>
    <x v="1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x v="0"/>
    <x v="0"/>
    <x v="6"/>
    <x v="256"/>
    <x v="0"/>
    <x v="1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x v="0"/>
    <x v="0"/>
    <x v="6"/>
    <x v="257"/>
    <x v="0"/>
    <x v="1"/>
    <n v="4"/>
    <n v="4"/>
    <n v="4"/>
    <n v="4"/>
    <n v="4"/>
    <n v="3"/>
    <n v="4"/>
    <n v="4"/>
    <n v="4"/>
    <n v="4"/>
    <n v="3"/>
    <n v="4"/>
    <n v="4"/>
    <n v="4"/>
    <n v="4"/>
    <n v="4"/>
    <n v="3"/>
    <n v="4"/>
    <n v="4"/>
  </r>
  <r>
    <x v="0"/>
    <x v="0"/>
    <x v="6"/>
    <x v="258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59"/>
    <x v="0"/>
    <x v="0"/>
    <n v="3"/>
    <n v="3"/>
    <n v="4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6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61"/>
    <x v="0"/>
    <x v="0"/>
    <n v="3"/>
    <n v="3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62"/>
    <x v="0"/>
    <x v="1"/>
    <n v="4"/>
    <n v="4"/>
    <n v="4"/>
    <n v="4"/>
    <n v="4"/>
    <n v="4"/>
    <n v="4"/>
    <n v="4"/>
    <n v="3"/>
    <n v="4"/>
    <n v="4"/>
    <n v="4"/>
    <n v="4"/>
    <n v="4"/>
    <n v="4"/>
    <n v="4"/>
    <n v="4"/>
    <n v="4"/>
    <n v="4"/>
  </r>
  <r>
    <x v="0"/>
    <x v="0"/>
    <x v="6"/>
    <x v="263"/>
    <x v="0"/>
    <x v="1"/>
    <n v="4"/>
    <n v="4"/>
    <n v="4"/>
    <n v="4"/>
    <n v="4"/>
    <n v="3"/>
    <n v="3"/>
    <n v="3"/>
    <n v="3"/>
    <n v="4"/>
    <n v="3"/>
    <n v="4"/>
    <n v="4"/>
    <n v="4"/>
    <n v="3"/>
    <n v="4"/>
    <n v="4"/>
    <n v="4"/>
    <n v="3"/>
  </r>
  <r>
    <x v="0"/>
    <x v="0"/>
    <x v="6"/>
    <x v="264"/>
    <x v="0"/>
    <x v="1"/>
    <n v="4"/>
    <n v="4"/>
    <n v="4"/>
    <n v="3"/>
    <n v="3"/>
    <n v="3"/>
    <n v="3"/>
    <n v="3"/>
    <n v="3"/>
    <n v="3"/>
    <n v="3"/>
    <n v="3"/>
    <n v="3"/>
    <n v="3"/>
    <n v="3"/>
    <n v="3"/>
    <n v="4"/>
    <n v="3"/>
    <n v="4"/>
  </r>
  <r>
    <x v="0"/>
    <x v="0"/>
    <x v="6"/>
    <x v="265"/>
    <x v="0"/>
    <x v="0"/>
    <n v="3"/>
    <n v="3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6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67"/>
    <x v="0"/>
    <x v="0"/>
    <n v="3"/>
    <n v="4"/>
    <n v="3"/>
    <n v="4"/>
    <n v="3"/>
    <n v="3"/>
    <n v="4"/>
    <n v="3"/>
    <n v="4"/>
    <n v="3"/>
    <n v="3"/>
    <n v="3"/>
    <n v="3"/>
    <n v="3"/>
    <n v="3"/>
    <n v="3"/>
    <n v="3"/>
    <n v="3"/>
    <n v="3"/>
  </r>
  <r>
    <x v="0"/>
    <x v="0"/>
    <x v="6"/>
    <x v="268"/>
    <x v="0"/>
    <x v="1"/>
    <n v="4"/>
    <n v="4"/>
    <n v="4"/>
    <n v="4"/>
    <n v="4"/>
    <n v="3"/>
    <n v="2"/>
    <n v="3"/>
    <n v="3"/>
    <n v="3"/>
    <n v="3"/>
    <n v="3"/>
    <n v="3"/>
    <n v="4"/>
    <n v="4"/>
    <n v="4"/>
    <n v="4"/>
    <n v="4"/>
    <n v="4"/>
  </r>
  <r>
    <x v="0"/>
    <x v="0"/>
    <x v="6"/>
    <x v="26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0"/>
    <x v="0"/>
    <x v="0"/>
    <n v="3"/>
    <n v="3"/>
    <n v="3"/>
    <n v="3"/>
    <n v="3"/>
    <n v="3"/>
    <n v="3"/>
    <n v="3"/>
    <n v="3"/>
    <n v="3"/>
    <n v="3"/>
    <n v="3"/>
    <n v="3"/>
    <n v="2"/>
    <n v="3"/>
    <n v="3"/>
    <n v="3"/>
    <n v="3"/>
    <n v="3"/>
  </r>
  <r>
    <x v="0"/>
    <x v="0"/>
    <x v="6"/>
    <x v="27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2"/>
    <x v="0"/>
    <x v="0"/>
    <n v="3"/>
    <n v="3"/>
    <n v="4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3"/>
    <x v="0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4"/>
    <x v="0"/>
    <x v="0"/>
    <n v="3"/>
    <n v="3"/>
    <n v="4"/>
    <n v="4"/>
    <n v="4"/>
    <n v="3"/>
    <n v="3"/>
    <n v="3"/>
    <n v="3"/>
    <n v="4"/>
    <n v="3"/>
    <n v="3"/>
    <n v="3"/>
    <n v="3"/>
    <n v="3"/>
    <n v="3"/>
    <n v="3"/>
    <n v="3"/>
    <n v="3"/>
  </r>
  <r>
    <x v="0"/>
    <x v="0"/>
    <x v="6"/>
    <x v="275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6"/>
    <x v="0"/>
    <x v="0"/>
    <n v="3"/>
    <n v="3"/>
    <n v="4"/>
    <n v="4"/>
    <n v="4"/>
    <n v="3"/>
    <n v="4"/>
    <n v="4"/>
    <n v="3"/>
    <n v="3"/>
    <n v="3"/>
    <n v="3"/>
    <n v="3"/>
    <n v="3"/>
    <n v="3"/>
    <n v="3"/>
    <n v="3"/>
    <n v="3"/>
    <n v="3"/>
  </r>
  <r>
    <x v="0"/>
    <x v="0"/>
    <x v="6"/>
    <x v="277"/>
    <x v="0"/>
    <x v="0"/>
    <n v="3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78"/>
    <x v="0"/>
    <x v="1"/>
    <n v="3"/>
    <n v="4"/>
    <n v="3"/>
    <n v="4"/>
    <n v="3"/>
    <n v="3"/>
    <n v="3"/>
    <n v="3"/>
    <n v="3"/>
    <n v="3"/>
    <n v="3"/>
    <n v="3"/>
    <n v="3"/>
    <n v="1"/>
    <n v="2"/>
    <n v="3"/>
    <n v="3"/>
    <n v="3"/>
    <n v="3"/>
  </r>
  <r>
    <x v="0"/>
    <x v="0"/>
    <x v="6"/>
    <x v="279"/>
    <x v="0"/>
    <x v="1"/>
    <n v="4"/>
    <n v="4"/>
    <n v="4"/>
    <n v="4"/>
    <n v="4"/>
    <n v="3"/>
    <n v="4"/>
    <n v="3"/>
    <n v="3"/>
    <n v="4"/>
    <n v="3"/>
    <n v="3"/>
    <n v="3"/>
    <n v="3"/>
    <n v="3"/>
    <n v="3"/>
    <n v="3"/>
    <n v="3"/>
    <n v="3"/>
  </r>
  <r>
    <x v="0"/>
    <x v="0"/>
    <x v="6"/>
    <x v="280"/>
    <x v="0"/>
    <x v="0"/>
    <n v="3"/>
    <n v="3"/>
    <n v="3"/>
    <n v="4"/>
    <n v="4"/>
    <n v="3"/>
    <n v="4"/>
    <n v="3"/>
    <n v="3"/>
    <n v="3"/>
    <n v="3"/>
    <n v="3"/>
    <n v="3"/>
    <n v="3"/>
    <n v="3"/>
    <n v="3"/>
    <n v="3"/>
    <n v="3"/>
    <n v="3"/>
  </r>
  <r>
    <x v="0"/>
    <x v="0"/>
    <x v="6"/>
    <x v="281"/>
    <x v="0"/>
    <x v="1"/>
    <n v="4"/>
    <n v="4"/>
    <n v="4"/>
    <n v="4"/>
    <n v="4"/>
    <n v="3"/>
    <n v="3"/>
    <n v="3"/>
    <n v="4"/>
    <n v="4"/>
    <n v="3"/>
    <n v="4"/>
    <n v="4"/>
    <n v="4"/>
    <n v="3"/>
    <n v="4"/>
    <n v="4"/>
    <n v="4"/>
    <n v="4"/>
  </r>
  <r>
    <x v="0"/>
    <x v="0"/>
    <x v="6"/>
    <x v="282"/>
    <x v="0"/>
    <x v="1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3"/>
    <x v="1"/>
    <x v="1"/>
    <n v="3"/>
    <n v="3"/>
    <n v="4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4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5"/>
    <x v="1"/>
    <x v="0"/>
    <n v="3"/>
    <n v="3"/>
    <n v="3"/>
    <n v="4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16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6"/>
    <x v="1"/>
    <x v="0"/>
    <n v="3"/>
    <n v="3"/>
    <n v="3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7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2"/>
    <n v="2"/>
    <n v="2"/>
  </r>
  <r>
    <x v="0"/>
    <x v="0"/>
    <x v="6"/>
    <x v="288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6"/>
    <x v="289"/>
    <x v="1"/>
    <x v="1"/>
    <n v="3"/>
    <n v="3"/>
    <n v="4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0"/>
    <x v="2"/>
    <x v="2"/>
    <n v="4"/>
    <n v="4"/>
    <n v="4"/>
    <n v="3"/>
    <n v="3"/>
    <n v="3"/>
    <n v="3"/>
    <n v="3"/>
    <n v="3"/>
    <n v="3"/>
    <n v="3"/>
    <n v="3"/>
    <n v="3"/>
    <n v="4"/>
    <n v="4"/>
    <n v="4"/>
    <n v="4"/>
    <n v="4"/>
    <n v="4"/>
  </r>
  <r>
    <x v="0"/>
    <x v="0"/>
    <x v="7"/>
    <x v="291"/>
    <x v="2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2"/>
    <x v="2"/>
    <x v="0"/>
    <n v="3"/>
    <n v="3"/>
    <n v="3"/>
    <n v="4"/>
    <n v="3"/>
    <n v="3"/>
    <n v="3"/>
    <n v="3"/>
    <n v="3"/>
    <n v="3"/>
    <n v="3"/>
    <n v="3"/>
    <n v="3"/>
    <n v="2"/>
    <n v="3"/>
    <n v="3"/>
    <n v="3"/>
    <n v="3"/>
    <n v="4"/>
  </r>
  <r>
    <x v="0"/>
    <x v="0"/>
    <x v="7"/>
    <x v="293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4"/>
    <x v="1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7"/>
    <x v="295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6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7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8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299"/>
    <x v="1"/>
    <x v="0"/>
    <n v="4"/>
    <n v="4"/>
    <n v="4"/>
    <n v="3"/>
    <n v="3"/>
    <n v="3"/>
    <n v="3"/>
    <n v="3"/>
    <n v="3"/>
    <n v="4"/>
    <n v="3"/>
    <n v="3"/>
    <n v="3"/>
    <n v="3"/>
    <n v="3"/>
    <n v="3"/>
    <n v="3"/>
    <n v="3"/>
    <n v="3"/>
  </r>
  <r>
    <x v="0"/>
    <x v="0"/>
    <x v="7"/>
    <x v="300"/>
    <x v="1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7"/>
    <x v="301"/>
    <x v="1"/>
    <x v="0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02"/>
    <x v="1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03"/>
    <x v="1"/>
    <x v="0"/>
    <n v="3"/>
    <n v="3"/>
    <n v="3"/>
    <n v="3"/>
    <n v="3"/>
    <n v="2"/>
    <n v="3"/>
    <n v="2"/>
    <n v="3"/>
    <n v="4"/>
    <n v="4"/>
    <n v="4"/>
    <n v="4"/>
    <n v="4"/>
    <n v="4"/>
    <n v="4"/>
    <n v="4"/>
    <n v="4"/>
    <n v="4"/>
  </r>
  <r>
    <x v="0"/>
    <x v="0"/>
    <x v="7"/>
    <x v="304"/>
    <x v="2"/>
    <x v="2"/>
    <n v="3"/>
    <n v="3"/>
    <n v="2"/>
    <n v="2"/>
    <n v="2"/>
    <n v="3"/>
    <n v="3"/>
    <n v="3"/>
    <n v="3"/>
    <n v="3"/>
    <n v="3"/>
    <n v="3"/>
    <n v="3"/>
    <n v="3"/>
    <n v="3"/>
    <n v="3"/>
    <n v="3"/>
    <n v="2"/>
    <n v="2"/>
  </r>
  <r>
    <x v="0"/>
    <x v="0"/>
    <x v="7"/>
    <x v="305"/>
    <x v="1"/>
    <x v="0"/>
    <n v="3"/>
    <n v="2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06"/>
    <x v="0"/>
    <x v="1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7"/>
    <x v="307"/>
    <x v="0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7"/>
    <x v="308"/>
    <x v="0"/>
    <x v="1"/>
    <n v="4"/>
    <n v="3"/>
    <n v="4"/>
    <n v="4"/>
    <n v="4"/>
    <n v="4"/>
    <n v="4"/>
    <n v="4"/>
    <n v="4"/>
    <n v="4"/>
    <n v="3"/>
    <n v="4"/>
    <n v="4"/>
    <n v="3"/>
    <n v="3"/>
    <n v="3"/>
    <n v="3"/>
    <n v="3"/>
    <n v="3"/>
  </r>
  <r>
    <x v="0"/>
    <x v="0"/>
    <x v="7"/>
    <x v="309"/>
    <x v="0"/>
    <x v="2"/>
    <n v="3"/>
    <n v="3"/>
    <n v="3"/>
    <n v="3"/>
    <n v="2"/>
    <n v="2"/>
    <n v="3"/>
    <n v="3"/>
    <n v="2"/>
    <n v="3"/>
    <n v="2"/>
    <n v="2"/>
    <n v="3"/>
    <n v="3"/>
    <n v="3"/>
    <n v="3"/>
    <n v="3"/>
    <n v="3"/>
    <n v="3"/>
  </r>
  <r>
    <x v="0"/>
    <x v="0"/>
    <x v="7"/>
    <x v="310"/>
    <x v="0"/>
    <x v="1"/>
    <n v="4"/>
    <n v="4"/>
    <n v="4"/>
    <n v="4"/>
    <n v="3"/>
    <n v="2"/>
    <n v="3"/>
    <n v="3"/>
    <n v="2"/>
    <n v="3"/>
    <n v="2"/>
    <n v="2"/>
    <n v="3"/>
    <n v="2"/>
    <n v="2"/>
    <n v="3"/>
    <n v="3"/>
    <n v="2"/>
    <n v="2"/>
  </r>
  <r>
    <x v="0"/>
    <x v="0"/>
    <x v="7"/>
    <x v="311"/>
    <x v="0"/>
    <x v="0"/>
    <n v="3"/>
    <n v="3"/>
    <n v="3"/>
    <n v="3"/>
    <n v="3"/>
    <n v="2"/>
    <n v="3"/>
    <n v="3"/>
    <n v="3"/>
    <n v="3"/>
    <n v="2"/>
    <n v="3"/>
    <n v="3"/>
    <n v="2"/>
    <n v="2"/>
    <n v="3"/>
    <n v="3"/>
    <n v="3"/>
    <n v="3"/>
  </r>
  <r>
    <x v="0"/>
    <x v="0"/>
    <x v="7"/>
    <x v="312"/>
    <x v="0"/>
    <x v="0"/>
    <n v="3"/>
    <n v="3"/>
    <n v="4"/>
    <n v="4"/>
    <n v="4"/>
    <n v="2"/>
    <n v="3"/>
    <n v="3"/>
    <n v="3"/>
    <n v="3"/>
    <n v="3"/>
    <n v="3"/>
    <n v="3"/>
    <n v="3"/>
    <n v="2"/>
    <n v="3"/>
    <n v="3"/>
    <n v="3"/>
    <n v="3"/>
  </r>
  <r>
    <x v="0"/>
    <x v="0"/>
    <x v="7"/>
    <x v="308"/>
    <x v="0"/>
    <x v="0"/>
    <n v="4"/>
    <n v="4"/>
    <n v="4"/>
    <n v="3"/>
    <n v="2"/>
    <n v="3"/>
    <n v="4"/>
    <n v="3"/>
    <n v="4"/>
    <n v="4"/>
    <n v="3"/>
    <n v="3"/>
    <n v="3"/>
    <n v="4"/>
    <n v="4"/>
    <n v="4"/>
    <n v="4"/>
    <n v="4"/>
    <n v="4"/>
  </r>
  <r>
    <x v="0"/>
    <x v="0"/>
    <x v="7"/>
    <x v="313"/>
    <x v="0"/>
    <x v="0"/>
    <n v="3"/>
    <n v="3"/>
    <n v="4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1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15"/>
    <x v="0"/>
    <x v="0"/>
    <n v="3"/>
    <n v="3"/>
    <n v="4"/>
    <n v="4"/>
    <n v="4"/>
    <n v="3"/>
    <n v="3"/>
    <n v="3"/>
    <n v="3"/>
    <n v="3"/>
    <n v="3"/>
    <n v="3"/>
    <n v="3"/>
    <n v="3"/>
    <n v="3"/>
    <n v="4"/>
    <n v="3"/>
    <n v="3"/>
    <n v="3"/>
  </r>
  <r>
    <x v="0"/>
    <x v="0"/>
    <x v="7"/>
    <x v="316"/>
    <x v="0"/>
    <x v="0"/>
    <n v="3"/>
    <n v="3"/>
    <n v="4"/>
    <n v="4"/>
    <n v="4"/>
    <n v="3"/>
    <n v="3"/>
    <n v="3"/>
    <n v="3"/>
    <n v="3"/>
    <n v="3"/>
    <n v="3"/>
    <n v="3"/>
    <n v="3"/>
    <n v="2"/>
    <n v="3"/>
    <n v="3"/>
    <n v="3"/>
    <n v="3"/>
  </r>
  <r>
    <x v="0"/>
    <x v="0"/>
    <x v="7"/>
    <x v="317"/>
    <x v="0"/>
    <x v="0"/>
    <n v="3"/>
    <n v="3"/>
    <n v="3"/>
    <n v="4"/>
    <n v="4"/>
    <n v="3"/>
    <n v="3"/>
    <n v="3"/>
    <n v="3"/>
    <n v="3"/>
    <n v="3"/>
    <n v="3"/>
    <n v="3"/>
    <n v="2"/>
    <n v="2"/>
    <n v="2"/>
    <n v="3"/>
    <n v="3"/>
    <n v="2"/>
  </r>
  <r>
    <x v="0"/>
    <x v="0"/>
    <x v="7"/>
    <x v="318"/>
    <x v="0"/>
    <x v="1"/>
    <n v="4"/>
    <n v="4"/>
    <n v="4"/>
    <n v="4"/>
    <n v="3"/>
    <n v="3"/>
    <n v="3"/>
    <n v="3"/>
    <n v="3"/>
    <n v="3"/>
    <n v="3"/>
    <n v="3"/>
    <n v="3"/>
    <n v="3"/>
    <n v="2"/>
    <n v="3"/>
    <n v="3"/>
    <n v="3"/>
    <n v="3"/>
  </r>
  <r>
    <x v="0"/>
    <x v="0"/>
    <x v="7"/>
    <x v="31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0"/>
    <x v="0"/>
    <x v="0"/>
    <n v="3"/>
    <n v="4"/>
    <n v="3"/>
    <n v="3"/>
    <n v="3"/>
    <n v="3"/>
    <n v="3"/>
    <n v="3"/>
    <n v="3"/>
    <n v="3"/>
    <n v="3"/>
    <n v="3"/>
    <n v="2"/>
    <n v="2"/>
    <n v="2"/>
    <n v="3"/>
    <n v="3"/>
    <n v="3"/>
    <n v="3"/>
  </r>
  <r>
    <x v="0"/>
    <x v="0"/>
    <x v="7"/>
    <x v="32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2"/>
    <x v="0"/>
    <x v="0"/>
    <n v="3"/>
    <n v="3"/>
    <n v="3"/>
    <n v="4"/>
    <n v="4"/>
    <n v="3"/>
    <n v="3"/>
    <n v="3"/>
    <n v="3"/>
    <n v="4"/>
    <n v="3"/>
    <n v="3"/>
    <n v="3"/>
    <n v="3"/>
    <n v="3"/>
    <n v="3"/>
    <n v="3"/>
    <n v="3"/>
    <n v="3"/>
  </r>
  <r>
    <x v="0"/>
    <x v="0"/>
    <x v="7"/>
    <x v="323"/>
    <x v="2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4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08"/>
    <x v="0"/>
    <x v="1"/>
    <n v="3"/>
    <n v="3"/>
    <n v="4"/>
    <n v="4"/>
    <n v="4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5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7"/>
    <x v="326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2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30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31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32"/>
    <x v="0"/>
    <x v="0"/>
    <n v="4"/>
    <n v="3"/>
    <n v="4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7"/>
    <x v="333"/>
    <x v="0"/>
    <x v="0"/>
    <n v="4"/>
    <n v="3"/>
    <n v="4"/>
    <n v="4"/>
    <n v="2"/>
    <n v="3"/>
    <n v="3"/>
    <n v="3"/>
    <n v="3"/>
    <n v="3"/>
    <n v="4"/>
    <n v="4"/>
    <n v="4"/>
    <n v="4"/>
    <n v="4"/>
    <n v="4"/>
    <n v="4"/>
    <n v="4"/>
    <n v="4"/>
  </r>
  <r>
    <x v="0"/>
    <x v="0"/>
    <x v="7"/>
    <x v="334"/>
    <x v="0"/>
    <x v="0"/>
    <n v="3"/>
    <n v="3"/>
    <n v="3"/>
    <n v="3"/>
    <n v="3"/>
    <n v="3"/>
    <n v="3"/>
    <n v="4"/>
    <n v="3"/>
    <n v="4"/>
    <n v="4"/>
    <n v="4"/>
    <n v="4"/>
    <n v="4"/>
    <n v="4"/>
    <n v="4"/>
    <n v="4"/>
    <n v="3"/>
    <n v="3"/>
  </r>
  <r>
    <x v="0"/>
    <x v="0"/>
    <x v="7"/>
    <x v="335"/>
    <x v="0"/>
    <x v="0"/>
    <n v="3"/>
    <n v="3"/>
    <n v="3"/>
    <n v="3"/>
    <n v="3"/>
    <n v="3"/>
    <n v="3"/>
    <n v="3"/>
    <n v="3"/>
    <n v="3"/>
    <n v="3"/>
    <n v="3"/>
    <n v="3"/>
    <n v="2"/>
    <n v="2"/>
    <n v="3"/>
    <n v="3"/>
    <n v="3"/>
    <n v="3"/>
  </r>
  <r>
    <x v="0"/>
    <x v="0"/>
    <x v="7"/>
    <x v="336"/>
    <x v="0"/>
    <x v="1"/>
    <n v="4"/>
    <n v="4"/>
    <n v="4"/>
    <n v="4"/>
    <n v="4"/>
    <n v="3"/>
    <n v="4"/>
    <n v="4"/>
    <n v="4"/>
    <n v="4"/>
    <n v="4"/>
    <n v="4"/>
    <n v="4"/>
    <n v="3"/>
    <n v="3"/>
    <n v="3"/>
    <n v="3"/>
    <n v="3"/>
    <n v="3"/>
  </r>
  <r>
    <x v="0"/>
    <x v="0"/>
    <x v="7"/>
    <x v="33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38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39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40"/>
    <x v="0"/>
    <x v="1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</r>
  <r>
    <x v="0"/>
    <x v="0"/>
    <x v="8"/>
    <x v="341"/>
    <x v="0"/>
    <x v="1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x v="0"/>
    <x v="0"/>
    <x v="8"/>
    <x v="342"/>
    <x v="0"/>
    <x v="1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x v="0"/>
    <x v="0"/>
    <x v="8"/>
    <x v="226"/>
    <x v="0"/>
    <x v="1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43"/>
    <x v="0"/>
    <x v="0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44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8"/>
    <x v="345"/>
    <x v="0"/>
    <x v="0"/>
    <n v="3"/>
    <n v="3"/>
    <n v="3"/>
    <n v="3"/>
    <n v="3"/>
    <n v="3"/>
    <n v="3"/>
    <n v="3"/>
    <n v="2"/>
    <n v="4"/>
    <n v="3"/>
    <n v="3"/>
    <n v="3"/>
    <n v="3"/>
    <n v="3"/>
    <n v="3"/>
    <n v="3"/>
    <n v="3"/>
    <n v="3"/>
  </r>
  <r>
    <x v="0"/>
    <x v="0"/>
    <x v="8"/>
    <x v="346"/>
    <x v="1"/>
    <x v="1"/>
    <n v="3"/>
    <n v="3"/>
    <n v="3"/>
    <n v="3"/>
    <n v="3"/>
    <n v="3"/>
    <n v="3"/>
    <n v="3"/>
    <n v="2"/>
    <n v="3"/>
    <n v="3"/>
    <n v="2"/>
    <n v="4"/>
    <n v="3"/>
    <n v="3"/>
    <n v="3"/>
    <n v="3"/>
    <n v="3"/>
    <n v="3"/>
  </r>
  <r>
    <x v="0"/>
    <x v="0"/>
    <x v="8"/>
    <x v="347"/>
    <x v="0"/>
    <x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x v="0"/>
    <x v="0"/>
    <x v="8"/>
    <x v="348"/>
    <x v="0"/>
    <x v="0"/>
    <n v="3"/>
    <n v="3"/>
    <n v="3"/>
    <n v="3"/>
    <n v="3"/>
    <n v="3"/>
    <n v="3"/>
    <n v="3"/>
    <n v="2"/>
    <n v="3"/>
    <n v="3"/>
    <n v="3"/>
    <n v="3"/>
    <n v="3"/>
    <n v="3"/>
    <n v="3"/>
    <n v="3"/>
    <n v="3"/>
    <n v="3"/>
  </r>
  <r>
    <x v="0"/>
    <x v="0"/>
    <x v="8"/>
    <x v="349"/>
    <x v="1"/>
    <x v="1"/>
    <n v="3"/>
    <n v="3"/>
    <n v="3"/>
    <n v="3"/>
    <n v="3"/>
    <n v="3"/>
    <n v="3"/>
    <n v="3"/>
    <n v="2"/>
    <n v="3"/>
    <n v="3"/>
    <n v="2"/>
    <n v="4"/>
    <n v="3"/>
    <n v="3"/>
    <n v="3"/>
    <n v="3"/>
    <n v="3"/>
    <n v="3"/>
  </r>
  <r>
    <x v="0"/>
    <x v="0"/>
    <x v="8"/>
    <x v="350"/>
    <x v="0"/>
    <x v="1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x v="0"/>
    <x v="0"/>
    <x v="8"/>
    <x v="351"/>
    <x v="0"/>
    <x v="0"/>
    <n v="3"/>
    <n v="3"/>
    <n v="3"/>
    <n v="3"/>
    <n v="3"/>
    <n v="4"/>
    <n v="3"/>
    <n v="3"/>
    <n v="2"/>
    <n v="3"/>
    <n v="3"/>
    <n v="4"/>
    <n v="3"/>
    <n v="3"/>
    <n v="3"/>
    <n v="3"/>
    <n v="3"/>
    <n v="3"/>
    <n v="3"/>
  </r>
  <r>
    <x v="0"/>
    <x v="0"/>
    <x v="8"/>
    <x v="352"/>
    <x v="0"/>
    <x v="0"/>
    <n v="3"/>
    <n v="3"/>
    <n v="3"/>
    <n v="2"/>
    <n v="2"/>
    <n v="3"/>
    <n v="2"/>
    <n v="2"/>
    <n v="1"/>
    <n v="2"/>
    <n v="3"/>
    <n v="3"/>
    <n v="2"/>
    <n v="3"/>
    <n v="3"/>
    <n v="3"/>
    <n v="3"/>
    <n v="3"/>
    <n v="3"/>
  </r>
  <r>
    <x v="0"/>
    <x v="0"/>
    <x v="8"/>
    <x v="353"/>
    <x v="0"/>
    <x v="0"/>
    <n v="3"/>
    <n v="3"/>
    <n v="3"/>
    <n v="3"/>
    <n v="2"/>
    <n v="3"/>
    <n v="3"/>
    <n v="3"/>
    <n v="3"/>
    <n v="4"/>
    <n v="3"/>
    <n v="4"/>
    <n v="4"/>
    <n v="4"/>
    <n v="4"/>
    <n v="4"/>
    <n v="3"/>
    <n v="3"/>
    <n v="3"/>
  </r>
  <r>
    <x v="1"/>
    <x v="1"/>
    <x v="9"/>
    <x v="354"/>
    <x v="2"/>
    <x v="4"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x v="0"/>
    <x v="0"/>
  </r>
  <r>
    <x v="1"/>
    <x v="1"/>
  </r>
  <r>
    <x v="2"/>
    <x v="2"/>
  </r>
  <r>
    <x v="3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x v="0"/>
  </r>
  <r>
    <x v="1"/>
    <x v="1"/>
  </r>
  <r>
    <x v="2"/>
    <x v="2"/>
  </r>
  <r>
    <x v="3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  <x v="0"/>
  </r>
  <r>
    <x v="1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  <x v="0"/>
  </r>
  <r>
    <x v="1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  <x v="0"/>
  </r>
  <r>
    <x v="1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3"/>
  </r>
  <r>
    <x v="4"/>
    <x v="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3"/>
  </r>
  <r>
    <x v="4"/>
    <x v="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2"/>
  </r>
  <r>
    <x v="4"/>
    <x v="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">
  <r>
    <x v="0"/>
    <x v="0"/>
  </r>
  <r>
    <x v="1"/>
    <x v="1"/>
  </r>
  <r>
    <x v="2"/>
    <x v="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3">
  <r>
    <x v="0"/>
    <x v="0"/>
  </r>
  <r>
    <x v="1"/>
    <x v="1"/>
  </r>
  <r>
    <x v="2"/>
    <x v="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3">
  <r>
    <x v="0"/>
    <x v="0"/>
  </r>
  <r>
    <x v="1"/>
    <x v="1"/>
  </r>
  <r>
    <x v="2"/>
    <x v="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6">
  <r>
    <x v="0"/>
    <x v="0"/>
  </r>
  <r>
    <x v="1"/>
    <x v="1"/>
  </r>
  <r>
    <x v="2"/>
    <x v="2"/>
  </r>
  <r>
    <x v="3"/>
    <x v="3"/>
  </r>
  <r>
    <x v="4"/>
    <x v="4"/>
  </r>
  <r>
    <x v="5"/>
    <x v="5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6">
  <r>
    <x v="0"/>
    <x v="0"/>
  </r>
  <r>
    <x v="1"/>
    <x v="1"/>
  </r>
  <r>
    <x v="2"/>
    <x v="2"/>
  </r>
  <r>
    <x v="3"/>
    <x v="3"/>
  </r>
  <r>
    <x v="4"/>
    <x v="4"/>
  </r>
  <r>
    <x v="5"/>
    <x v="5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6">
  <r>
    <x v="0"/>
    <x v="0"/>
  </r>
  <r>
    <x v="1"/>
    <x v="1"/>
  </r>
  <r>
    <x v="2"/>
    <x v="2"/>
  </r>
  <r>
    <x v="3"/>
    <x v="3"/>
  </r>
  <r>
    <x v="4"/>
    <x v="4"/>
  </r>
  <r>
    <x v="5"/>
    <x v="5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1"/>
  </r>
  <r>
    <x v="7"/>
    <x v="3"/>
  </r>
  <r>
    <x v="8"/>
    <x v="6"/>
  </r>
  <r>
    <x v="9"/>
    <x v="7"/>
  </r>
  <r>
    <x v="10"/>
    <x v="8"/>
  </r>
  <r>
    <x v="11"/>
    <x v="9"/>
  </r>
  <r>
    <x v="12"/>
    <x v="10"/>
  </r>
  <r>
    <x v="13"/>
    <x v="2"/>
  </r>
  <r>
    <x v="14"/>
    <x v="10"/>
  </r>
  <r>
    <x v="15"/>
    <x v="11"/>
  </r>
  <r>
    <x v="16"/>
    <x v="1"/>
  </r>
  <r>
    <x v="17"/>
    <x v="12"/>
  </r>
  <r>
    <x v="18"/>
    <x v="12"/>
  </r>
  <r>
    <x v="19"/>
    <x v="1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2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8"/>
    <x v="18"/>
  </r>
  <r>
    <x v="19"/>
    <x v="19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4">
  <r>
    <x v="0"/>
    <x v="0"/>
  </r>
  <r>
    <x v="1"/>
    <x v="1"/>
  </r>
  <r>
    <x v="2"/>
    <x v="2"/>
  </r>
  <r>
    <x v="3"/>
    <x v="3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2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5"/>
  </r>
  <r>
    <x v="17"/>
    <x v="16"/>
  </r>
  <r>
    <x v="18"/>
    <x v="17"/>
  </r>
  <r>
    <x v="19"/>
    <x v="18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20">
  <r>
    <x v="0"/>
    <n v="5"/>
    <x v="0"/>
  </r>
  <r>
    <x v="1"/>
    <n v="4"/>
    <x v="1"/>
  </r>
  <r>
    <x v="2"/>
    <n v="3"/>
    <x v="2"/>
  </r>
  <r>
    <x v="3"/>
    <n v="2"/>
    <x v="3"/>
  </r>
  <r>
    <x v="4"/>
    <n v="1"/>
    <x v="4"/>
  </r>
  <r>
    <x v="5"/>
    <n v="7"/>
    <x v="5"/>
  </r>
  <r>
    <x v="6"/>
    <n v="17"/>
    <x v="6"/>
  </r>
  <r>
    <x v="7"/>
    <n v="10"/>
    <x v="7"/>
  </r>
  <r>
    <x v="8"/>
    <n v="11"/>
    <x v="8"/>
  </r>
  <r>
    <x v="9"/>
    <n v="20"/>
    <x v="9"/>
  </r>
  <r>
    <x v="10"/>
    <n v="9"/>
    <x v="10"/>
  </r>
  <r>
    <x v="11"/>
    <n v="16"/>
    <x v="11"/>
  </r>
  <r>
    <x v="12"/>
    <n v="13"/>
    <x v="1"/>
  </r>
  <r>
    <x v="13"/>
    <n v="6"/>
    <x v="12"/>
  </r>
  <r>
    <x v="14"/>
    <n v="18"/>
    <x v="13"/>
  </r>
  <r>
    <x v="15"/>
    <n v="19"/>
    <x v="12"/>
  </r>
  <r>
    <x v="16"/>
    <n v="7"/>
    <x v="14"/>
  </r>
  <r>
    <x v="17"/>
    <n v="12"/>
    <x v="15"/>
  </r>
  <r>
    <x v="18"/>
    <n v="14"/>
    <x v="16"/>
  </r>
  <r>
    <x v="19"/>
    <n v="15"/>
    <x v="17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2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8"/>
    <x v="18"/>
  </r>
  <r>
    <x v="19"/>
    <x v="1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20">
  <r>
    <x v="0"/>
    <n v="5"/>
    <x v="0"/>
  </r>
  <r>
    <x v="1"/>
    <n v="6"/>
    <x v="1"/>
  </r>
  <r>
    <x v="2"/>
    <n v="1"/>
    <x v="2"/>
  </r>
  <r>
    <x v="3"/>
    <n v="4"/>
    <x v="3"/>
  </r>
  <r>
    <x v="4"/>
    <n v="2"/>
    <x v="4"/>
  </r>
  <r>
    <x v="5"/>
    <n v="8"/>
    <x v="5"/>
  </r>
  <r>
    <x v="6"/>
    <n v="16"/>
    <x v="6"/>
  </r>
  <r>
    <x v="7"/>
    <n v="11"/>
    <x v="7"/>
  </r>
  <r>
    <x v="8"/>
    <n v="10"/>
    <x v="8"/>
  </r>
  <r>
    <x v="9"/>
    <n v="20"/>
    <x v="9"/>
  </r>
  <r>
    <x v="10"/>
    <n v="9"/>
    <x v="10"/>
  </r>
  <r>
    <x v="11"/>
    <n v="17"/>
    <x v="11"/>
  </r>
  <r>
    <x v="12"/>
    <n v="12"/>
    <x v="12"/>
  </r>
  <r>
    <x v="13"/>
    <n v="3"/>
    <x v="13"/>
  </r>
  <r>
    <x v="14"/>
    <n v="18"/>
    <x v="14"/>
  </r>
  <r>
    <x v="15"/>
    <n v="19"/>
    <x v="15"/>
  </r>
  <r>
    <x v="16"/>
    <n v="7"/>
    <x v="12"/>
  </r>
  <r>
    <x v="17"/>
    <n v="13"/>
    <x v="16"/>
  </r>
  <r>
    <x v="18"/>
    <n v="14"/>
    <x v="17"/>
  </r>
  <r>
    <x v="19"/>
    <n v="15"/>
    <x v="18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362">
  <r>
    <x v="0"/>
    <x v="0"/>
    <x v="0"/>
    <s v="MEURASI"/>
    <x v="0"/>
  </r>
  <r>
    <x v="0"/>
    <x v="0"/>
    <x v="0"/>
    <s v="PUTROE MEURAXA"/>
    <x v="0"/>
  </r>
  <r>
    <x v="0"/>
    <x v="0"/>
    <x v="0"/>
    <s v="BERKAT"/>
    <x v="0"/>
  </r>
  <r>
    <x v="0"/>
    <x v="0"/>
    <x v="0"/>
    <s v="ACEH EYE CENTER"/>
    <x v="0"/>
  </r>
  <r>
    <x v="0"/>
    <x v="0"/>
    <x v="0"/>
    <s v="SAKTI"/>
    <x v="0"/>
  </r>
  <r>
    <x v="0"/>
    <x v="0"/>
    <x v="0"/>
    <s v="CEMPAKA FARMA"/>
    <x v="0"/>
  </r>
  <r>
    <x v="0"/>
    <x v="0"/>
    <x v="0"/>
    <s v="KIMIA FARMA"/>
    <x v="0"/>
  </r>
  <r>
    <x v="0"/>
    <x v="0"/>
    <x v="0"/>
    <s v="PELENGKAP FAKINAH"/>
    <x v="0"/>
  </r>
  <r>
    <x v="0"/>
    <x v="0"/>
    <x v="0"/>
    <s v="MUTIARA"/>
    <x v="0"/>
  </r>
  <r>
    <x v="0"/>
    <x v="0"/>
    <x v="0"/>
    <s v="RATU FARMA"/>
    <x v="0"/>
  </r>
  <r>
    <x v="0"/>
    <x v="0"/>
    <x v="0"/>
    <s v="FAMILY FARMA"/>
    <x v="0"/>
  </r>
  <r>
    <x v="0"/>
    <x v="0"/>
    <x v="0"/>
    <s v="LARIS"/>
    <x v="0"/>
  </r>
  <r>
    <x v="0"/>
    <x v="0"/>
    <x v="0"/>
    <s v="MEULABOH"/>
    <x v="0"/>
  </r>
  <r>
    <x v="0"/>
    <x v="0"/>
    <x v="0"/>
    <s v="WAWAN"/>
    <x v="0"/>
  </r>
  <r>
    <x v="0"/>
    <x v="0"/>
    <x v="0"/>
    <s v="AFIYAH"/>
    <x v="0"/>
  </r>
  <r>
    <x v="0"/>
    <x v="0"/>
    <x v="0"/>
    <s v="LARIS 3"/>
    <x v="0"/>
  </r>
  <r>
    <x v="0"/>
    <x v="0"/>
    <x v="0"/>
    <s v="JEUMPA"/>
    <x v="0"/>
  </r>
  <r>
    <x v="0"/>
    <x v="0"/>
    <x v="0"/>
    <s v="RIZKI MEURASI"/>
    <x v="0"/>
  </r>
  <r>
    <x v="0"/>
    <x v="0"/>
    <x v="0"/>
    <s v="WAHID"/>
    <x v="0"/>
  </r>
  <r>
    <x v="0"/>
    <x v="0"/>
    <x v="0"/>
    <s v="RSUD ZAINOEL ABIDIN"/>
    <x v="1"/>
  </r>
  <r>
    <x v="0"/>
    <x v="0"/>
    <x v="1"/>
    <s v="AP. KITA"/>
    <x v="0"/>
  </r>
  <r>
    <x v="0"/>
    <x v="0"/>
    <x v="1"/>
    <s v="AP. GAMMA"/>
    <x v="0"/>
  </r>
  <r>
    <x v="0"/>
    <x v="0"/>
    <x v="1"/>
    <s v="AP. YASA"/>
    <x v="0"/>
  </r>
  <r>
    <x v="0"/>
    <x v="0"/>
    <x v="1"/>
    <s v="AP. INDONESIA"/>
    <x v="0"/>
  </r>
  <r>
    <x v="0"/>
    <x v="0"/>
    <x v="1"/>
    <s v="AP. CARITAS"/>
    <x v="0"/>
  </r>
  <r>
    <x v="0"/>
    <x v="0"/>
    <x v="1"/>
    <s v="AP. ANNIDA"/>
    <x v="0"/>
  </r>
  <r>
    <x v="0"/>
    <x v="0"/>
    <x v="1"/>
    <s v="AP. FIT-Z"/>
    <x v="0"/>
  </r>
  <r>
    <x v="0"/>
    <x v="0"/>
    <x v="1"/>
    <s v="AP. MARGARETHA FARMA"/>
    <x v="0"/>
  </r>
  <r>
    <x v="0"/>
    <x v="0"/>
    <x v="1"/>
    <s v="AP. KRANGGAN"/>
    <x v="0"/>
  </r>
  <r>
    <x v="0"/>
    <x v="0"/>
    <x v="1"/>
    <s v="AP. MITRA SEHAT KELUARGA"/>
    <x v="0"/>
  </r>
  <r>
    <x v="0"/>
    <x v="0"/>
    <x v="1"/>
    <s v="AP. MULIA FARMA"/>
    <x v="0"/>
  </r>
  <r>
    <x v="0"/>
    <x v="0"/>
    <x v="1"/>
    <s v="AP. NAURA FARMA"/>
    <x v="0"/>
  </r>
  <r>
    <x v="0"/>
    <x v="0"/>
    <x v="1"/>
    <s v="AP. MUBAROK"/>
    <x v="0"/>
  </r>
  <r>
    <x v="0"/>
    <x v="0"/>
    <x v="1"/>
    <s v="AP. CIPAYUNG FARMA"/>
    <x v="0"/>
  </r>
  <r>
    <x v="0"/>
    <x v="0"/>
    <x v="1"/>
    <s v="AP. WASPADA FARMA"/>
    <x v="0"/>
  </r>
  <r>
    <x v="0"/>
    <x v="0"/>
    <x v="1"/>
    <s v="AP. VILLA DUTA"/>
    <x v="0"/>
  </r>
  <r>
    <x v="0"/>
    <x v="0"/>
    <x v="1"/>
    <s v="AP. ROSALINA"/>
    <x v="0"/>
  </r>
  <r>
    <x v="0"/>
    <x v="0"/>
    <x v="1"/>
    <s v="AP. DUTA ESA FARMA"/>
    <x v="0"/>
  </r>
  <r>
    <x v="0"/>
    <x v="0"/>
    <x v="1"/>
    <s v="AP. MEDIKA FARMA 29"/>
    <x v="0"/>
  </r>
  <r>
    <x v="0"/>
    <x v="0"/>
    <x v="1"/>
    <s v="AP. FLORA"/>
    <x v="0"/>
  </r>
  <r>
    <x v="0"/>
    <x v="0"/>
    <x v="1"/>
    <s v="AP. HANA MEDIKA"/>
    <x v="0"/>
  </r>
  <r>
    <x v="0"/>
    <x v="0"/>
    <x v="1"/>
    <s v="AP. MANDAPA FARMA"/>
    <x v="0"/>
  </r>
  <r>
    <x v="0"/>
    <x v="0"/>
    <x v="1"/>
    <s v="AP. ASIA"/>
    <x v="0"/>
  </r>
  <r>
    <x v="0"/>
    <x v="0"/>
    <x v="1"/>
    <s v="AP. IKANA"/>
    <x v="0"/>
  </r>
  <r>
    <x v="0"/>
    <x v="0"/>
    <x v="1"/>
    <s v="AP. BOULKIN"/>
    <x v="0"/>
  </r>
  <r>
    <x v="0"/>
    <x v="0"/>
    <x v="1"/>
    <s v="AP. CIBULUH"/>
    <x v="0"/>
  </r>
  <r>
    <x v="0"/>
    <x v="0"/>
    <x v="1"/>
    <s v="AP. NIRWANA"/>
    <x v="0"/>
  </r>
  <r>
    <x v="0"/>
    <x v="0"/>
    <x v="1"/>
    <s v="KLINIK PANDAWA RAYA"/>
    <x v="0"/>
  </r>
  <r>
    <x v="0"/>
    <x v="0"/>
    <x v="1"/>
    <s v="AP. K-24 CIKARET CIBINONG"/>
    <x v="0"/>
  </r>
  <r>
    <x v="0"/>
    <x v="0"/>
    <x v="1"/>
    <s v="AP. 99"/>
    <x v="0"/>
  </r>
  <r>
    <x v="0"/>
    <x v="0"/>
    <x v="1"/>
    <s v="RS. PERMATA CIBUBUR"/>
    <x v="1"/>
  </r>
  <r>
    <x v="0"/>
    <x v="0"/>
    <x v="1"/>
    <s v="AP. PELENGKAP KOP PEGAWAI RSU CIBINONG"/>
    <x v="1"/>
  </r>
  <r>
    <x v="0"/>
    <x v="0"/>
    <x v="1"/>
    <s v="RS. VANIA"/>
    <x v="1"/>
  </r>
  <r>
    <x v="0"/>
    <x v="0"/>
    <x v="1"/>
    <s v="RSUD. KOTA BOGOR"/>
    <x v="1"/>
  </r>
  <r>
    <x v="0"/>
    <x v="0"/>
    <x v="1"/>
    <s v="RSIA. JULIANA"/>
    <x v="1"/>
  </r>
  <r>
    <x v="0"/>
    <x v="0"/>
    <x v="1"/>
    <s v="RSUD. CIAWI"/>
    <x v="1"/>
  </r>
  <r>
    <x v="0"/>
    <x v="0"/>
    <x v="1"/>
    <s v="RS. SENTRA MEDIKA CIBINONG"/>
    <x v="1"/>
  </r>
  <r>
    <x v="0"/>
    <x v="0"/>
    <x v="1"/>
    <s v="RS. MITRA KELUARGA CIBUBUR"/>
    <x v="1"/>
  </r>
  <r>
    <x v="0"/>
    <x v="0"/>
    <x v="1"/>
    <s v="RS. MEILIA"/>
    <x v="1"/>
  </r>
  <r>
    <x v="0"/>
    <x v="0"/>
    <x v="1"/>
    <s v="PT. MEDIKALOKA CILEUNGSI"/>
    <x v="1"/>
  </r>
  <r>
    <x v="0"/>
    <x v="0"/>
    <x v="1"/>
    <s v="RS. MEDIKA DRAMAGA"/>
    <x v="1"/>
  </r>
  <r>
    <x v="0"/>
    <x v="0"/>
    <x v="1"/>
    <s v="RS. TRIMITRA"/>
    <x v="1"/>
  </r>
  <r>
    <x v="0"/>
    <x v="0"/>
    <x v="1"/>
    <s v="RS. MULIA PAJAJARAN"/>
    <x v="1"/>
  </r>
  <r>
    <x v="0"/>
    <x v="0"/>
    <x v="1"/>
    <s v="RS. ISLAM BOGOR"/>
    <x v="1"/>
  </r>
  <r>
    <x v="0"/>
    <x v="0"/>
    <x v="1"/>
    <s v="RSUD SALAK"/>
    <x v="1"/>
  </r>
  <r>
    <x v="0"/>
    <x v="0"/>
    <x v="1"/>
    <s v="RS. JATI SAMPURNA"/>
    <x v="1"/>
  </r>
  <r>
    <x v="0"/>
    <x v="0"/>
    <x v="2"/>
    <s v="Kambang"/>
    <x v="0"/>
  </r>
  <r>
    <x v="0"/>
    <x v="0"/>
    <x v="2"/>
    <s v="Kimia Farma"/>
    <x v="0"/>
  </r>
  <r>
    <x v="0"/>
    <x v="0"/>
    <x v="2"/>
    <s v="Kuningan"/>
    <x v="0"/>
  </r>
  <r>
    <x v="0"/>
    <x v="0"/>
    <x v="2"/>
    <s v="Avicenna"/>
    <x v="0"/>
  </r>
  <r>
    <x v="0"/>
    <x v="0"/>
    <x v="2"/>
    <s v="Prima"/>
    <x v="0"/>
  </r>
  <r>
    <x v="0"/>
    <x v="0"/>
    <x v="2"/>
    <s v="Bintang Semesta"/>
    <x v="0"/>
  </r>
  <r>
    <x v="0"/>
    <x v="0"/>
    <x v="2"/>
    <s v="Meranti"/>
    <x v="0"/>
  </r>
  <r>
    <x v="0"/>
    <x v="0"/>
    <x v="2"/>
    <s v="Sipin"/>
    <x v="0"/>
  </r>
  <r>
    <x v="0"/>
    <x v="0"/>
    <x v="2"/>
    <s v="Anak Ibu"/>
    <x v="0"/>
  </r>
  <r>
    <x v="0"/>
    <x v="0"/>
    <x v="2"/>
    <s v="Kopkar Energi"/>
    <x v="0"/>
  </r>
  <r>
    <x v="0"/>
    <x v="0"/>
    <x v="2"/>
    <s v="Kito"/>
    <x v="0"/>
  </r>
  <r>
    <x v="0"/>
    <x v="0"/>
    <x v="2"/>
    <s v="Bio Farma"/>
    <x v="0"/>
  </r>
  <r>
    <x v="0"/>
    <x v="0"/>
    <x v="2"/>
    <s v="Kita"/>
    <x v="0"/>
  </r>
  <r>
    <x v="0"/>
    <x v="0"/>
    <x v="2"/>
    <s v="Rotari"/>
    <x v="0"/>
  </r>
  <r>
    <x v="0"/>
    <x v="0"/>
    <x v="2"/>
    <s v="Baiturrahim"/>
    <x v="1"/>
  </r>
  <r>
    <x v="0"/>
    <x v="0"/>
    <x v="2"/>
    <s v="St. Theresia"/>
    <x v="1"/>
  </r>
  <r>
    <x v="0"/>
    <x v="0"/>
    <x v="3"/>
    <s v="AP. TANAH ABANG"/>
    <x v="0"/>
  </r>
  <r>
    <x v="0"/>
    <x v="0"/>
    <x v="3"/>
    <s v="AP. IDAMAN"/>
    <x v="0"/>
  </r>
  <r>
    <x v="0"/>
    <x v="0"/>
    <x v="3"/>
    <s v="RS. SILOAM TB SIMATUPANG"/>
    <x v="1"/>
  </r>
  <r>
    <x v="0"/>
    <x v="0"/>
    <x v="3"/>
    <s v="RS. MAYAPADA"/>
    <x v="1"/>
  </r>
  <r>
    <x v="0"/>
    <x v="0"/>
    <x v="3"/>
    <s v="RS. SILOAM KEBUN JERUK"/>
    <x v="1"/>
  </r>
  <r>
    <x v="0"/>
    <x v="0"/>
    <x v="3"/>
    <s v="AP. BUGAR"/>
    <x v="0"/>
  </r>
  <r>
    <x v="0"/>
    <x v="0"/>
    <x v="3"/>
    <s v="AP. KEMBANG KEREP"/>
    <x v="0"/>
  </r>
  <r>
    <x v="0"/>
    <x v="0"/>
    <x v="3"/>
    <s v="AP. K24 PESANGGRAHAN"/>
    <x v="0"/>
  </r>
  <r>
    <x v="0"/>
    <x v="0"/>
    <x v="3"/>
    <s v="AP. GMM"/>
    <x v="0"/>
  </r>
  <r>
    <x v="0"/>
    <x v="0"/>
    <x v="3"/>
    <s v="AP. RAPHA"/>
    <x v="0"/>
  </r>
  <r>
    <x v="0"/>
    <x v="0"/>
    <x v="3"/>
    <s v="AP. SEHAT SENTOSA"/>
    <x v="0"/>
  </r>
  <r>
    <x v="0"/>
    <x v="0"/>
    <x v="3"/>
    <s v="AP. SIMPANG PURI"/>
    <x v="0"/>
  </r>
  <r>
    <x v="0"/>
    <x v="0"/>
    <x v="3"/>
    <s v="AP. PURI SATU"/>
    <x v="0"/>
  </r>
  <r>
    <x v="0"/>
    <x v="0"/>
    <x v="3"/>
    <s v="AP. HANDAYANI"/>
    <x v="0"/>
  </r>
  <r>
    <x v="0"/>
    <x v="0"/>
    <x v="3"/>
    <s v="AP. KARYA MAKMUR"/>
    <x v="0"/>
  </r>
  <r>
    <x v="0"/>
    <x v="0"/>
    <x v="3"/>
    <s v="AP. TOMANG RAYA"/>
    <x v="0"/>
  </r>
  <r>
    <x v="0"/>
    <x v="0"/>
    <x v="3"/>
    <s v="AP. NIDEA"/>
    <x v="0"/>
  </r>
  <r>
    <x v="0"/>
    <x v="0"/>
    <x v="3"/>
    <s v="AP. 52"/>
    <x v="0"/>
  </r>
  <r>
    <x v="0"/>
    <x v="0"/>
    <x v="3"/>
    <s v="AP. MEDICASTORE"/>
    <x v="0"/>
  </r>
  <r>
    <x v="0"/>
    <x v="0"/>
    <x v="3"/>
    <s v="AP. CHICO"/>
    <x v="0"/>
  </r>
  <r>
    <x v="0"/>
    <x v="0"/>
    <x v="3"/>
    <s v="AP. STELLA MEDIKA"/>
    <x v="0"/>
  </r>
  <r>
    <x v="0"/>
    <x v="0"/>
    <x v="3"/>
    <s v="AP. PRADANA"/>
    <x v="0"/>
  </r>
  <r>
    <x v="0"/>
    <x v="0"/>
    <x v="3"/>
    <s v="AP. GREEN VILLE"/>
    <x v="0"/>
  </r>
  <r>
    <x v="0"/>
    <x v="0"/>
    <x v="3"/>
    <s v="AP. BUMI"/>
    <x v="0"/>
  </r>
  <r>
    <x v="0"/>
    <x v="0"/>
    <x v="3"/>
    <s v="AP. BINTANG"/>
    <x v="0"/>
  </r>
  <r>
    <x v="0"/>
    <x v="0"/>
    <x v="3"/>
    <s v="AP. LAUTAN BERKAT"/>
    <x v="0"/>
  </r>
  <r>
    <x v="0"/>
    <x v="0"/>
    <x v="3"/>
    <s v="AP. REJEKI TOMANG"/>
    <x v="0"/>
  </r>
  <r>
    <x v="0"/>
    <x v="0"/>
    <x v="3"/>
    <s v="AP. MATAHARI"/>
    <x v="0"/>
  </r>
  <r>
    <x v="0"/>
    <x v="0"/>
    <x v="3"/>
    <s v="PT. SARANDUTA PLUIT/ RS. PLUIT"/>
    <x v="1"/>
  </r>
  <r>
    <x v="0"/>
    <x v="0"/>
    <x v="3"/>
    <s v="RS. ATMAJAYA"/>
    <x v="1"/>
  </r>
  <r>
    <x v="0"/>
    <x v="0"/>
    <x v="3"/>
    <s v="RSIA. GRAND FAMILY"/>
    <x v="1"/>
  </r>
  <r>
    <x v="0"/>
    <x v="0"/>
    <x v="3"/>
    <s v="PT MANDARAMEDIKA UTAMA/ RS. PIK"/>
    <x v="1"/>
  </r>
  <r>
    <x v="0"/>
    <x v="0"/>
    <x v="3"/>
    <s v="AP. ANDALAS"/>
    <x v="0"/>
  </r>
  <r>
    <x v="0"/>
    <x v="0"/>
    <x v="3"/>
    <s v="AP. DUNIA SEHAT"/>
    <x v="0"/>
  </r>
  <r>
    <x v="0"/>
    <x v="0"/>
    <x v="3"/>
    <s v="AP. PERDANA"/>
    <x v="0"/>
  </r>
  <r>
    <x v="0"/>
    <x v="0"/>
    <x v="3"/>
    <s v="AP. MK PLUIT"/>
    <x v="0"/>
  </r>
  <r>
    <x v="0"/>
    <x v="0"/>
    <x v="3"/>
    <s v="AP. SEHAT REJEKI"/>
    <x v="0"/>
  </r>
  <r>
    <x v="0"/>
    <x v="0"/>
    <x v="3"/>
    <s v="AP. MEDIS"/>
    <x v="0"/>
  </r>
  <r>
    <x v="0"/>
    <x v="0"/>
    <x v="3"/>
    <s v="AP. KASIH"/>
    <x v="0"/>
  </r>
  <r>
    <x v="0"/>
    <x v="0"/>
    <x v="3"/>
    <s v="AP. MALIBU"/>
    <x v="0"/>
  </r>
  <r>
    <x v="0"/>
    <x v="0"/>
    <x v="3"/>
    <s v="AP.CIPTO"/>
    <x v="0"/>
  </r>
  <r>
    <x v="0"/>
    <x v="0"/>
    <x v="3"/>
    <s v="AP.TOBA"/>
    <x v="0"/>
  </r>
  <r>
    <x v="0"/>
    <x v="0"/>
    <x v="3"/>
    <s v="INST. FARMASI KLINIK MATA MAYESTIK"/>
    <x v="1"/>
  </r>
  <r>
    <x v="0"/>
    <x v="0"/>
    <x v="3"/>
    <s v="AP. MADINAH FARMA"/>
    <x v="0"/>
  </r>
  <r>
    <x v="0"/>
    <x v="0"/>
    <x v="3"/>
    <s v="AP. ADE"/>
    <x v="0"/>
  </r>
  <r>
    <x v="0"/>
    <x v="0"/>
    <x v="3"/>
    <s v="AP. KURNIA FARMA"/>
    <x v="0"/>
  </r>
  <r>
    <x v="0"/>
    <x v="0"/>
    <x v="3"/>
    <s v="AP. AN-NUUR"/>
    <x v="0"/>
  </r>
  <r>
    <x v="0"/>
    <x v="0"/>
    <x v="3"/>
    <s v="AP. SARI MURAH"/>
    <x v="0"/>
  </r>
  <r>
    <x v="0"/>
    <x v="0"/>
    <x v="3"/>
    <s v="AP. BUNDARAN SLIPI"/>
    <x v="0"/>
  </r>
  <r>
    <x v="0"/>
    <x v="0"/>
    <x v="3"/>
    <s v="AP. TAMAN PURING"/>
    <x v="0"/>
  </r>
  <r>
    <x v="0"/>
    <x v="0"/>
    <x v="3"/>
    <s v="AP. KAIKOUKAI"/>
    <x v="0"/>
  </r>
  <r>
    <x v="0"/>
    <x v="0"/>
    <x v="3"/>
    <s v="RS. PERTAMINA"/>
    <x v="1"/>
  </r>
  <r>
    <x v="0"/>
    <x v="0"/>
    <x v="3"/>
    <s v="RS. HERMINA DAAN MOGOT"/>
    <x v="0"/>
  </r>
  <r>
    <x v="0"/>
    <x v="0"/>
    <x v="3"/>
    <s v="AP. K24 UTAMA"/>
    <x v="0"/>
  </r>
  <r>
    <x v="0"/>
    <x v="0"/>
    <x v="3"/>
    <s v="AP. LABORA FARMA"/>
    <x v="0"/>
  </r>
  <r>
    <x v="0"/>
    <x v="0"/>
    <x v="3"/>
    <s v="AP. CMC"/>
    <x v="0"/>
  </r>
  <r>
    <x v="0"/>
    <x v="0"/>
    <x v="3"/>
    <s v="AP. ANEKA FARMA"/>
    <x v="0"/>
  </r>
  <r>
    <x v="0"/>
    <x v="0"/>
    <x v="3"/>
    <s v="AP. LISA FARMA"/>
    <x v="0"/>
  </r>
  <r>
    <x v="0"/>
    <x v="0"/>
    <x v="3"/>
    <s v="AP. HOSANA"/>
    <x v="0"/>
  </r>
  <r>
    <x v="0"/>
    <x v="0"/>
    <x v="3"/>
    <s v="AP. BUDI JAYA"/>
    <x v="0"/>
  </r>
  <r>
    <x v="0"/>
    <x v="0"/>
    <x v="3"/>
    <s v="RS. PURI CINERE"/>
    <x v="1"/>
  </r>
  <r>
    <x v="0"/>
    <x v="0"/>
    <x v="3"/>
    <s v="AP. BINA SEHAT"/>
    <x v="0"/>
  </r>
  <r>
    <x v="0"/>
    <x v="0"/>
    <x v="3"/>
    <s v="AP. HIDUP BARU"/>
    <x v="0"/>
  </r>
  <r>
    <x v="0"/>
    <x v="0"/>
    <x v="3"/>
    <s v="AP.ELA FARMA"/>
    <x v="0"/>
  </r>
  <r>
    <x v="0"/>
    <x v="0"/>
    <x v="3"/>
    <s v="AP. K24 REMPOA"/>
    <x v="0"/>
  </r>
  <r>
    <x v="0"/>
    <x v="0"/>
    <x v="3"/>
    <s v="AP. PONDOK INDAH"/>
    <x v="0"/>
  </r>
  <r>
    <x v="0"/>
    <x v="0"/>
    <x v="3"/>
    <s v="AP. TANAH KUSIR"/>
    <x v="0"/>
  </r>
  <r>
    <x v="0"/>
    <x v="0"/>
    <x v="3"/>
    <s v="AP. PELA"/>
    <x v="0"/>
  </r>
  <r>
    <x v="0"/>
    <x v="0"/>
    <x v="3"/>
    <s v="AP. RHEIN"/>
    <x v="0"/>
  </r>
  <r>
    <x v="0"/>
    <x v="0"/>
    <x v="3"/>
    <s v="AP. SS DIABETES CARE"/>
    <x v="0"/>
  </r>
  <r>
    <x v="0"/>
    <x v="0"/>
    <x v="3"/>
    <s v="AP. ZAM ZAM"/>
    <x v="0"/>
  </r>
  <r>
    <x v="0"/>
    <x v="0"/>
    <x v="3"/>
    <s v="RS. PURI INDAH"/>
    <x v="1"/>
  </r>
  <r>
    <x v="0"/>
    <x v="0"/>
    <x v="3"/>
    <s v="RS. PONDOK INDAH"/>
    <x v="1"/>
  </r>
  <r>
    <x v="0"/>
    <x v="0"/>
    <x v="3"/>
    <s v="AP. BAHAGIA"/>
    <x v="0"/>
  </r>
  <r>
    <x v="0"/>
    <x v="0"/>
    <x v="3"/>
    <s v="AP. GUNA FARMA"/>
    <x v="0"/>
  </r>
  <r>
    <x v="0"/>
    <x v="0"/>
    <x v="3"/>
    <s v="RS. BUDI KEMULIAAN"/>
    <x v="1"/>
  </r>
  <r>
    <x v="0"/>
    <x v="0"/>
    <x v="3"/>
    <s v="RS. KANKER DHARMAIS"/>
    <x v="1"/>
  </r>
  <r>
    <x v="0"/>
    <x v="0"/>
    <x v="3"/>
    <s v="AP. VIT"/>
    <x v="0"/>
  </r>
  <r>
    <x v="0"/>
    <x v="0"/>
    <x v="3"/>
    <s v="AP. TEROGONG"/>
    <x v="0"/>
  </r>
  <r>
    <x v="0"/>
    <x v="0"/>
    <x v="3"/>
    <s v="AP. CIRENDUE"/>
    <x v="0"/>
  </r>
  <r>
    <x v="0"/>
    <x v="0"/>
    <x v="3"/>
    <s v="AP. BERKAH SALAMAH"/>
    <x v="0"/>
  </r>
  <r>
    <x v="0"/>
    <x v="0"/>
    <x v="3"/>
    <s v="AP. KIMIA FARMA CIPUTAT"/>
    <x v="0"/>
  </r>
  <r>
    <x v="0"/>
    <x v="0"/>
    <x v="3"/>
    <s v="AP. KIMIA FARMA CIRENDUE"/>
    <x v="0"/>
  </r>
  <r>
    <x v="0"/>
    <x v="0"/>
    <x v="3"/>
    <s v="AP. SUPER SAVER"/>
    <x v="0"/>
  </r>
  <r>
    <x v="0"/>
    <x v="0"/>
    <x v="3"/>
    <s v="AP. PROVITA"/>
    <x v="0"/>
  </r>
  <r>
    <x v="0"/>
    <x v="0"/>
    <x v="3"/>
    <s v="RSIA. HERMINA CIPUTAT"/>
    <x v="1"/>
  </r>
  <r>
    <x v="0"/>
    <x v="0"/>
    <x v="3"/>
    <s v="RS. AFFINITY BINTARO"/>
    <x v="1"/>
  </r>
  <r>
    <x v="0"/>
    <x v="0"/>
    <x v="3"/>
    <s v="AP. FARMARIN BINTARO"/>
    <x v="0"/>
  </r>
  <r>
    <x v="0"/>
    <x v="0"/>
    <x v="3"/>
    <s v="AP. MERAK"/>
    <x v="0"/>
  </r>
  <r>
    <x v="0"/>
    <x v="0"/>
    <x v="3"/>
    <s v="AP. CAHAYA"/>
    <x v="0"/>
  </r>
  <r>
    <x v="0"/>
    <x v="0"/>
    <x v="3"/>
    <s v="AP. BINJAYA"/>
    <x v="0"/>
  </r>
  <r>
    <x v="0"/>
    <x v="0"/>
    <x v="3"/>
    <s v="AP. KERTA MEDIKA"/>
    <x v="0"/>
  </r>
  <r>
    <x v="0"/>
    <x v="0"/>
    <x v="3"/>
    <s v="AP. DIVINA PUSPITA"/>
    <x v="0"/>
  </r>
  <r>
    <x v="0"/>
    <x v="0"/>
    <x v="3"/>
    <s v="AP. OLAF"/>
    <x v="0"/>
  </r>
  <r>
    <x v="0"/>
    <x v="0"/>
    <x v="3"/>
    <s v="AP. PUTER"/>
    <x v="0"/>
  </r>
  <r>
    <x v="0"/>
    <x v="0"/>
    <x v="3"/>
    <s v="AP. TAMAN"/>
    <x v="0"/>
  </r>
  <r>
    <x v="0"/>
    <x v="0"/>
    <x v="3"/>
    <s v="AP. RIDO FARMA"/>
    <x v="0"/>
  </r>
  <r>
    <x v="0"/>
    <x v="0"/>
    <x v="3"/>
    <s v="AP. ANTASARI"/>
    <x v="0"/>
  </r>
  <r>
    <x v="0"/>
    <x v="0"/>
    <x v="3"/>
    <s v="AP. SIMAS SEHAT"/>
    <x v="0"/>
  </r>
  <r>
    <x v="0"/>
    <x v="0"/>
    <x v="3"/>
    <s v="AP. KEKE"/>
    <x v="0"/>
  </r>
  <r>
    <x v="0"/>
    <x v="0"/>
    <x v="3"/>
    <s v="RS. ROYAL TARUMA"/>
    <x v="0"/>
  </r>
  <r>
    <x v="0"/>
    <x v="0"/>
    <x v="3"/>
    <s v="AP. HIDUP SEHAT"/>
    <x v="0"/>
  </r>
  <r>
    <x v="0"/>
    <x v="0"/>
    <x v="3"/>
    <s v="AP. ROXY"/>
    <x v="0"/>
  </r>
  <r>
    <x v="0"/>
    <x v="0"/>
    <x v="3"/>
    <s v="AP DUNIA MEDIKA"/>
    <x v="0"/>
  </r>
  <r>
    <x v="0"/>
    <x v="0"/>
    <x v="3"/>
    <s v="AP. LUCKY JAYA"/>
    <x v="0"/>
  </r>
  <r>
    <x v="0"/>
    <x v="0"/>
    <x v="3"/>
    <s v="AP. BINTANG SEMESTA"/>
    <x v="0"/>
  </r>
  <r>
    <x v="0"/>
    <x v="0"/>
    <x v="3"/>
    <s v="AP. MUWARDI"/>
    <x v="0"/>
  </r>
  <r>
    <x v="0"/>
    <x v="0"/>
    <x v="3"/>
    <s v="AP. SEDERHANA"/>
    <x v="0"/>
  </r>
  <r>
    <x v="0"/>
    <x v="0"/>
    <x v="3"/>
    <s v="AP. DIAMOND"/>
    <x v="0"/>
  </r>
  <r>
    <x v="0"/>
    <x v="0"/>
    <x v="3"/>
    <s v="PT. KIJANG MAS"/>
    <x v="0"/>
  </r>
  <r>
    <x v="0"/>
    <x v="0"/>
    <x v="3"/>
    <s v="AP. GOLDEN STAR"/>
    <x v="0"/>
  </r>
  <r>
    <x v="0"/>
    <x v="0"/>
    <x v="3"/>
    <s v="AP. SANITAS"/>
    <x v="0"/>
  </r>
  <r>
    <x v="0"/>
    <x v="0"/>
    <x v="3"/>
    <s v="AP. TIMUR JAUH"/>
    <x v="0"/>
  </r>
  <r>
    <x v="0"/>
    <x v="0"/>
    <x v="3"/>
    <s v="AP. CEMPAKA"/>
    <x v="0"/>
  </r>
  <r>
    <x v="0"/>
    <x v="0"/>
    <x v="3"/>
    <s v="AP. SS. MEDIKA"/>
    <x v="0"/>
  </r>
  <r>
    <x v="0"/>
    <x v="0"/>
    <x v="3"/>
    <s v="AP. PRIMA HUSADA"/>
    <x v="0"/>
  </r>
  <r>
    <x v="0"/>
    <x v="0"/>
    <x v="3"/>
    <s v="AP. MEDICARE"/>
    <x v="0"/>
  </r>
  <r>
    <x v="0"/>
    <x v="0"/>
    <x v="3"/>
    <s v="AP. KASUARI"/>
    <x v="0"/>
  </r>
  <r>
    <x v="0"/>
    <x v="0"/>
    <x v="3"/>
    <s v="AP. KARUNIA SEHAT"/>
    <x v="0"/>
  </r>
  <r>
    <x v="0"/>
    <x v="0"/>
    <x v="3"/>
    <s v="AP. DHIA"/>
    <x v="0"/>
  </r>
  <r>
    <x v="0"/>
    <x v="0"/>
    <x v="4"/>
    <s v="Apotek Sakura"/>
    <x v="0"/>
  </r>
  <r>
    <x v="0"/>
    <x v="0"/>
    <x v="4"/>
    <s v="RS Dian Harapan"/>
    <x v="1"/>
  </r>
  <r>
    <x v="0"/>
    <x v="0"/>
    <x v="4"/>
    <s v="Apotek Rahmat"/>
    <x v="0"/>
  </r>
  <r>
    <x v="0"/>
    <x v="0"/>
    <x v="4"/>
    <s v="Apotek Matahari"/>
    <x v="0"/>
  </r>
  <r>
    <x v="0"/>
    <x v="0"/>
    <x v="4"/>
    <s v="Apotek Murah Farma"/>
    <x v="0"/>
  </r>
  <r>
    <x v="0"/>
    <x v="0"/>
    <x v="4"/>
    <s v="Apotek Harmonis"/>
    <x v="0"/>
  </r>
  <r>
    <x v="0"/>
    <x v="0"/>
    <x v="4"/>
    <s v="Apotek Medika"/>
    <x v="0"/>
  </r>
  <r>
    <x v="0"/>
    <x v="0"/>
    <x v="4"/>
    <s v="Apotek Delta Cipta"/>
    <x v="0"/>
  </r>
  <r>
    <x v="0"/>
    <x v="0"/>
    <x v="4"/>
    <s v="Apotek Murah Farma 2"/>
    <x v="0"/>
  </r>
  <r>
    <x v="0"/>
    <x v="0"/>
    <x v="4"/>
    <s v="Apotek Sinar Bahari"/>
    <x v="0"/>
  </r>
  <r>
    <x v="0"/>
    <x v="0"/>
    <x v="4"/>
    <s v="Apotek Waena Jaya/Daud Terang"/>
    <x v="0"/>
  </r>
  <r>
    <x v="0"/>
    <x v="0"/>
    <x v="4"/>
    <s v="Apotek Ulfa Lia"/>
    <x v="0"/>
  </r>
  <r>
    <x v="0"/>
    <x v="0"/>
    <x v="4"/>
    <s v="PT. Kimia Farma Apotek"/>
    <x v="0"/>
  </r>
  <r>
    <x v="0"/>
    <x v="0"/>
    <x v="4"/>
    <s v="Apotek Pelita Jaya Farma"/>
    <x v="0"/>
  </r>
  <r>
    <x v="0"/>
    <x v="0"/>
    <x v="4"/>
    <s v="Apotek Mitra Sehat Farma"/>
    <x v="0"/>
  </r>
  <r>
    <x v="0"/>
    <x v="0"/>
    <x v="4"/>
    <s v="Apotek Puspita"/>
    <x v="0"/>
  </r>
  <r>
    <x v="0"/>
    <x v="0"/>
    <x v="4"/>
    <s v="Apotek Bunda"/>
    <x v="0"/>
  </r>
  <r>
    <x v="0"/>
    <x v="0"/>
    <x v="4"/>
    <s v="Apotek K-24 Abepura"/>
    <x v="0"/>
  </r>
  <r>
    <x v="0"/>
    <x v="0"/>
    <x v="4"/>
    <s v="Apotek Rakyat Youtefa"/>
    <x v="0"/>
  </r>
  <r>
    <x v="0"/>
    <x v="0"/>
    <x v="4"/>
    <s v="Apotek Parama"/>
    <x v="0"/>
  </r>
  <r>
    <x v="0"/>
    <x v="0"/>
    <x v="4"/>
    <s v="Apotek Aglusia"/>
    <x v="0"/>
  </r>
  <r>
    <x v="0"/>
    <x v="0"/>
    <x v="4"/>
    <s v="Apotek Segar"/>
    <x v="0"/>
  </r>
  <r>
    <x v="0"/>
    <x v="0"/>
    <x v="4"/>
    <s v="Apotek Abe Farma"/>
    <x v="0"/>
  </r>
  <r>
    <x v="0"/>
    <x v="0"/>
    <x v="5"/>
    <s v="PT. ASIH EKA ABADI"/>
    <x v="0"/>
  </r>
  <r>
    <x v="0"/>
    <x v="0"/>
    <x v="5"/>
    <s v="AP. ASIA"/>
    <x v="0"/>
  </r>
  <r>
    <x v="0"/>
    <x v="0"/>
    <x v="5"/>
    <s v="AP. MUTIARA 1"/>
    <x v="0"/>
  </r>
  <r>
    <x v="0"/>
    <x v="0"/>
    <x v="5"/>
    <s v="AP. PRIMA"/>
    <x v="0"/>
  </r>
  <r>
    <x v="0"/>
    <x v="0"/>
    <x v="5"/>
    <s v="AP. GANDUL MEDIKA"/>
    <x v="0"/>
  </r>
  <r>
    <x v="0"/>
    <x v="0"/>
    <x v="5"/>
    <s v="RISA. KEMANG MEDICAL CENTER"/>
    <x v="1"/>
  </r>
  <r>
    <x v="0"/>
    <x v="0"/>
    <x v="5"/>
    <s v="AP. K-24 PASAR MINGGU"/>
    <x v="0"/>
  </r>
  <r>
    <x v="0"/>
    <x v="0"/>
    <x v="5"/>
    <s v="AP. TELEMEDIKA FARMA"/>
    <x v="0"/>
  </r>
  <r>
    <x v="0"/>
    <x v="0"/>
    <x v="5"/>
    <s v="AP. AJI WARAS"/>
    <x v="0"/>
  </r>
  <r>
    <x v="0"/>
    <x v="0"/>
    <x v="5"/>
    <s v="AP. BAHAR MEDIKA"/>
    <x v="0"/>
  </r>
  <r>
    <x v="0"/>
    <x v="0"/>
    <x v="5"/>
    <s v="AP. KIMIA FARMA DEPOK"/>
    <x v="0"/>
  </r>
  <r>
    <x v="0"/>
    <x v="0"/>
    <x v="5"/>
    <s v="AP. ZAMZAM SIAGA"/>
    <x v="0"/>
  </r>
  <r>
    <x v="0"/>
    <x v="0"/>
    <x v="5"/>
    <s v="AP. INSAN FARMA BARU"/>
    <x v="0"/>
  </r>
  <r>
    <x v="0"/>
    <x v="0"/>
    <x v="5"/>
    <s v="AP. JALAN BARU"/>
    <x v="0"/>
  </r>
  <r>
    <x v="0"/>
    <x v="0"/>
    <x v="5"/>
    <s v="RS. HERMINA MEDIKALOKA HUSAN"/>
    <x v="1"/>
  </r>
  <r>
    <x v="0"/>
    <x v="0"/>
    <x v="5"/>
    <s v="AP. ERRA MEDIKA"/>
    <x v="0"/>
  </r>
  <r>
    <x v="0"/>
    <x v="0"/>
    <x v="5"/>
    <s v="AP. NAURA  MEDIKA"/>
    <x v="0"/>
  </r>
  <r>
    <x v="0"/>
    <x v="0"/>
    <x v="5"/>
    <s v="AP. SEHATI"/>
    <x v="0"/>
  </r>
  <r>
    <x v="0"/>
    <x v="0"/>
    <x v="5"/>
    <s v="AP. LISNA ASYIFA"/>
    <x v="0"/>
  </r>
  <r>
    <x v="0"/>
    <x v="0"/>
    <x v="5"/>
    <s v="AP. KARISMA UTAMA"/>
    <x v="0"/>
  </r>
  <r>
    <x v="0"/>
    <x v="0"/>
    <x v="5"/>
    <s v="AP. SENDANG BUNDA"/>
    <x v="0"/>
  </r>
  <r>
    <x v="0"/>
    <x v="0"/>
    <x v="5"/>
    <s v="RS. MITRA KELUARGA DEPOK"/>
    <x v="1"/>
  </r>
  <r>
    <x v="0"/>
    <x v="0"/>
    <x v="5"/>
    <s v="AP. K24 DUREN TIGA"/>
    <x v="0"/>
  </r>
  <r>
    <x v="0"/>
    <x v="0"/>
    <x v="5"/>
    <s v="AP. SLAMET"/>
    <x v="0"/>
  </r>
  <r>
    <x v="0"/>
    <x v="0"/>
    <x v="5"/>
    <s v="AP. MEDISHAPE"/>
    <x v="0"/>
  </r>
  <r>
    <x v="0"/>
    <x v="0"/>
    <x v="5"/>
    <s v="AP. PERMATA JASINDO"/>
    <x v="0"/>
  </r>
  <r>
    <x v="0"/>
    <x v="0"/>
    <x v="5"/>
    <s v="AP. K.S.C"/>
    <x v="0"/>
  </r>
  <r>
    <x v="0"/>
    <x v="0"/>
    <x v="5"/>
    <s v="AP. KRISLINA"/>
    <x v="0"/>
  </r>
  <r>
    <x v="0"/>
    <x v="0"/>
    <x v="5"/>
    <s v="RS. BRAWIJAYA"/>
    <x v="1"/>
  </r>
  <r>
    <x v="0"/>
    <x v="0"/>
    <x v="6"/>
    <s v="ABADI"/>
    <x v="0"/>
  </r>
  <r>
    <x v="0"/>
    <x v="0"/>
    <x v="6"/>
    <s v="ADIS FARMA"/>
    <x v="0"/>
  </r>
  <r>
    <x v="0"/>
    <x v="0"/>
    <x v="6"/>
    <s v="AGUNG"/>
    <x v="0"/>
  </r>
  <r>
    <x v="0"/>
    <x v="0"/>
    <x v="6"/>
    <s v="AMELIA"/>
    <x v="0"/>
  </r>
  <r>
    <x v="0"/>
    <x v="0"/>
    <x v="6"/>
    <s v="ANUGERAH"/>
    <x v="0"/>
  </r>
  <r>
    <x v="0"/>
    <x v="0"/>
    <x v="6"/>
    <s v="ARWANA"/>
    <x v="0"/>
  </r>
  <r>
    <x v="0"/>
    <x v="0"/>
    <x v="6"/>
    <s v="BINTANG"/>
    <x v="0"/>
  </r>
  <r>
    <x v="0"/>
    <x v="0"/>
    <x v="6"/>
    <s v="CAHAYA"/>
    <x v="0"/>
  </r>
  <r>
    <x v="0"/>
    <x v="0"/>
    <x v="6"/>
    <s v="CEMARA"/>
    <x v="0"/>
  </r>
  <r>
    <x v="0"/>
    <x v="0"/>
    <x v="6"/>
    <s v="CENTRAL"/>
    <x v="0"/>
  </r>
  <r>
    <x v="0"/>
    <x v="0"/>
    <x v="6"/>
    <s v="CINTA KASIH"/>
    <x v="0"/>
  </r>
  <r>
    <x v="0"/>
    <x v="0"/>
    <x v="6"/>
    <s v="CIPTA"/>
    <x v="0"/>
  </r>
  <r>
    <x v="0"/>
    <x v="0"/>
    <x v="6"/>
    <s v="FARMA MEDIKA"/>
    <x v="0"/>
  </r>
  <r>
    <x v="0"/>
    <x v="0"/>
    <x v="6"/>
    <s v="GAJAH MADA"/>
    <x v="0"/>
  </r>
  <r>
    <x v="0"/>
    <x v="0"/>
    <x v="6"/>
    <s v="GRAHA"/>
    <x v="0"/>
  </r>
  <r>
    <x v="0"/>
    <x v="0"/>
    <x v="6"/>
    <s v="HUSADA"/>
    <x v="0"/>
  </r>
  <r>
    <x v="0"/>
    <x v="0"/>
    <x v="6"/>
    <s v="IMAN BONJOL"/>
    <x v="0"/>
  </r>
  <r>
    <x v="0"/>
    <x v="0"/>
    <x v="6"/>
    <s v="KENCANA"/>
    <x v="0"/>
  </r>
  <r>
    <x v="0"/>
    <x v="0"/>
    <x v="6"/>
    <s v="KIMIA FARMA"/>
    <x v="0"/>
  </r>
  <r>
    <x v="0"/>
    <x v="0"/>
    <x v="6"/>
    <s v="MAKMUR"/>
    <x v="0"/>
  </r>
  <r>
    <x v="0"/>
    <x v="0"/>
    <x v="6"/>
    <s v="MAKMUR II"/>
    <x v="0"/>
  </r>
  <r>
    <x v="0"/>
    <x v="0"/>
    <x v="6"/>
    <s v="MANDIRI"/>
    <x v="0"/>
  </r>
  <r>
    <x v="0"/>
    <x v="0"/>
    <x v="6"/>
    <s v="MANDIRI II"/>
    <x v="0"/>
  </r>
  <r>
    <x v="0"/>
    <x v="0"/>
    <x v="6"/>
    <s v="MERDEKA TIMUR"/>
    <x v="0"/>
  </r>
  <r>
    <x v="0"/>
    <x v="0"/>
    <x v="6"/>
    <s v="CV. Apotek MULIA"/>
    <x v="0"/>
  </r>
  <r>
    <x v="0"/>
    <x v="0"/>
    <x v="6"/>
    <s v="SADAR"/>
    <x v="0"/>
  </r>
  <r>
    <x v="0"/>
    <x v="0"/>
    <x v="6"/>
    <s v="SAHABAT"/>
    <x v="0"/>
  </r>
  <r>
    <x v="0"/>
    <x v="0"/>
    <x v="6"/>
    <s v="SARI FARMA"/>
    <x v="0"/>
  </r>
  <r>
    <x v="0"/>
    <x v="0"/>
    <x v="6"/>
    <s v="SEHAT"/>
    <x v="0"/>
  </r>
  <r>
    <x v="0"/>
    <x v="0"/>
    <x v="6"/>
    <s v="SEHATI"/>
    <x v="0"/>
  </r>
  <r>
    <x v="0"/>
    <x v="0"/>
    <x v="6"/>
    <s v="SEI RAYA DALAM"/>
    <x v="0"/>
  </r>
  <r>
    <x v="0"/>
    <x v="0"/>
    <x v="6"/>
    <s v="SIANTAN JAYA"/>
    <x v="0"/>
  </r>
  <r>
    <x v="0"/>
    <x v="0"/>
    <x v="6"/>
    <s v="KHARITAS BHAKTI"/>
    <x v="1"/>
  </r>
  <r>
    <x v="0"/>
    <x v="0"/>
    <x v="6"/>
    <s v="PROMEDIKA"/>
    <x v="1"/>
  </r>
  <r>
    <x v="0"/>
    <x v="0"/>
    <x v="6"/>
    <s v="MITRA MEDIKA"/>
    <x v="1"/>
  </r>
  <r>
    <x v="0"/>
    <x v="0"/>
    <x v="6"/>
    <s v="JEUMPA"/>
    <x v="1"/>
  </r>
  <r>
    <x v="0"/>
    <x v="0"/>
    <x v="6"/>
    <s v="NABASA"/>
    <x v="1"/>
  </r>
  <r>
    <x v="0"/>
    <x v="0"/>
    <x v="6"/>
    <s v="ANUGERAH BUNDA KHATULISTIWA"/>
    <x v="1"/>
  </r>
  <r>
    <x v="0"/>
    <x v="0"/>
    <x v="6"/>
    <s v="YARSI"/>
    <x v="1"/>
  </r>
  <r>
    <x v="0"/>
    <x v="0"/>
    <x v="6"/>
    <s v="Y. DHARMA INSAN/ANTONIUS"/>
    <x v="1"/>
  </r>
  <r>
    <x v="0"/>
    <x v="0"/>
    <x v="7"/>
    <s v="PT LABORATORIUM "/>
    <x v="2"/>
  </r>
  <r>
    <x v="0"/>
    <x v="0"/>
    <x v="7"/>
    <s v="PT ALPEN AGUNG RAYA "/>
    <x v="2"/>
  </r>
  <r>
    <x v="0"/>
    <x v="0"/>
    <x v="7"/>
    <s v="LANCAR"/>
    <x v="2"/>
  </r>
  <r>
    <x v="0"/>
    <x v="0"/>
    <x v="7"/>
    <s v="RS. AISYAH BOJONEGORO "/>
    <x v="1"/>
  </r>
  <r>
    <x v="0"/>
    <x v="0"/>
    <x v="7"/>
    <s v="RS. MEDIKA MULIA"/>
    <x v="1"/>
  </r>
  <r>
    <x v="0"/>
    <x v="0"/>
    <x v="7"/>
    <s v="RS. NADHATUL ULAMA "/>
    <x v="1"/>
  </r>
  <r>
    <x v="0"/>
    <x v="0"/>
    <x v="7"/>
    <s v="RSUD NGIMBANG "/>
    <x v="1"/>
  </r>
  <r>
    <x v="0"/>
    <x v="0"/>
    <x v="7"/>
    <s v="RS. MUHAMMADIYAH BARAT "/>
    <x v="1"/>
  </r>
  <r>
    <x v="0"/>
    <x v="0"/>
    <x v="7"/>
    <s v="RS. NASHRUL UMMAH "/>
    <x v="1"/>
  </r>
  <r>
    <x v="0"/>
    <x v="0"/>
    <x v="7"/>
    <s v="RS. INTAN MEDIKA LAMONGAN "/>
    <x v="1"/>
  </r>
  <r>
    <x v="0"/>
    <x v="0"/>
    <x v="7"/>
    <s v="RSI DARUS SYIFA "/>
    <x v="1"/>
  </r>
  <r>
    <x v="0"/>
    <x v="0"/>
    <x v="7"/>
    <s v="RS. BUNDA "/>
    <x v="1"/>
  </r>
  <r>
    <x v="0"/>
    <x v="0"/>
    <x v="7"/>
    <s v="RS. SILOAM SURABAYA"/>
    <x v="1"/>
  </r>
  <r>
    <x v="0"/>
    <x v="0"/>
    <x v="7"/>
    <s v="RS. MUHAMMADIYAH LAMONGAN"/>
    <x v="1"/>
  </r>
  <r>
    <x v="0"/>
    <x v="0"/>
    <x v="7"/>
    <s v="IBNU SINA BOJONEGORO"/>
    <x v="2"/>
  </r>
  <r>
    <x v="0"/>
    <x v="0"/>
    <x v="7"/>
    <s v="RSI MUHAMMADIYAH"/>
    <x v="1"/>
  </r>
  <r>
    <x v="0"/>
    <x v="0"/>
    <x v="7"/>
    <s v="AP. BASUKI RAHMAD BJN"/>
    <x v="0"/>
  </r>
  <r>
    <x v="0"/>
    <x v="0"/>
    <x v="7"/>
    <s v="AP. PANGSUD BJN "/>
    <x v="0"/>
  </r>
  <r>
    <x v="0"/>
    <x v="0"/>
    <x v="7"/>
    <s v="AP. K-24"/>
    <x v="0"/>
  </r>
  <r>
    <x v="0"/>
    <x v="0"/>
    <x v="7"/>
    <s v="AP. BORNEO"/>
    <x v="0"/>
  </r>
  <r>
    <x v="0"/>
    <x v="0"/>
    <x v="7"/>
    <s v="AP. BANYU URIP "/>
    <x v="0"/>
  </r>
  <r>
    <x v="0"/>
    <x v="0"/>
    <x v="7"/>
    <s v="AP. SUGENG "/>
    <x v="0"/>
  </r>
  <r>
    <x v="0"/>
    <x v="0"/>
    <x v="7"/>
    <s v="AP. SEMARANG "/>
    <x v="0"/>
  </r>
  <r>
    <x v="0"/>
    <x v="0"/>
    <x v="7"/>
    <s v="AP. K-24"/>
    <x v="0"/>
  </r>
  <r>
    <x v="0"/>
    <x v="0"/>
    <x v="7"/>
    <s v="AP. RAHMAH "/>
    <x v="0"/>
  </r>
  <r>
    <x v="0"/>
    <x v="0"/>
    <x v="7"/>
    <s v="AP. PUSURA "/>
    <x v="0"/>
  </r>
  <r>
    <x v="0"/>
    <x v="0"/>
    <x v="7"/>
    <s v="AP. K-24 BOULEVARD "/>
    <x v="0"/>
  </r>
  <r>
    <x v="0"/>
    <x v="0"/>
    <x v="7"/>
    <s v="AP. ROYAL CLINIC "/>
    <x v="0"/>
  </r>
  <r>
    <x v="0"/>
    <x v="0"/>
    <x v="7"/>
    <s v="AP. ESA "/>
    <x v="0"/>
  </r>
  <r>
    <x v="0"/>
    <x v="0"/>
    <x v="7"/>
    <s v="AP. ABDI MULIA "/>
    <x v="0"/>
  </r>
  <r>
    <x v="0"/>
    <x v="0"/>
    <x v="7"/>
    <s v="AP. TIARA RAYA "/>
    <x v="0"/>
  </r>
  <r>
    <x v="0"/>
    <x v="0"/>
    <x v="7"/>
    <s v="AP. BRINGIN INDAH "/>
    <x v="0"/>
  </r>
  <r>
    <x v="0"/>
    <x v="0"/>
    <x v="7"/>
    <s v="AP. K-24 MANUKAN "/>
    <x v="0"/>
  </r>
  <r>
    <x v="0"/>
    <x v="0"/>
    <x v="7"/>
    <s v="AP. TENGGER 3"/>
    <x v="0"/>
  </r>
  <r>
    <x v="0"/>
    <x v="0"/>
    <x v="7"/>
    <s v="ASY SYAFAAH "/>
    <x v="2"/>
  </r>
  <r>
    <x v="0"/>
    <x v="0"/>
    <x v="7"/>
    <s v="AP. ASIKIN FARMA "/>
    <x v="0"/>
  </r>
  <r>
    <x v="0"/>
    <x v="0"/>
    <x v="7"/>
    <s v="AP. K-24"/>
    <x v="0"/>
  </r>
  <r>
    <x v="0"/>
    <x v="0"/>
    <x v="7"/>
    <s v="AP. WARAS "/>
    <x v="0"/>
  </r>
  <r>
    <x v="0"/>
    <x v="0"/>
    <x v="7"/>
    <s v="AP. SEHAT "/>
    <x v="0"/>
  </r>
  <r>
    <x v="0"/>
    <x v="0"/>
    <x v="7"/>
    <s v="AP. SHA SHA"/>
    <x v="0"/>
  </r>
  <r>
    <x v="0"/>
    <x v="0"/>
    <x v="7"/>
    <s v="AP. FARADIST "/>
    <x v="0"/>
  </r>
  <r>
    <x v="0"/>
    <x v="0"/>
    <x v="7"/>
    <s v="AP. BANARAN "/>
    <x v="0"/>
  </r>
  <r>
    <x v="0"/>
    <x v="0"/>
    <x v="7"/>
    <s v="AP. RONGGOLAWE "/>
    <x v="0"/>
  </r>
  <r>
    <x v="0"/>
    <x v="0"/>
    <x v="7"/>
    <s v="AP. MAHKOTA"/>
    <x v="0"/>
  </r>
  <r>
    <x v="0"/>
    <x v="0"/>
    <x v="7"/>
    <s v="AP. BHAKTI "/>
    <x v="0"/>
  </r>
  <r>
    <x v="0"/>
    <x v="0"/>
    <x v="7"/>
    <s v="AP. NUSA"/>
    <x v="0"/>
  </r>
  <r>
    <x v="0"/>
    <x v="0"/>
    <x v="7"/>
    <s v="AP. KASIH KARUNIA"/>
    <x v="0"/>
  </r>
  <r>
    <x v="0"/>
    <x v="0"/>
    <x v="7"/>
    <s v="AP. BUDI JAYA BJN"/>
    <x v="0"/>
  </r>
  <r>
    <x v="0"/>
    <x v="0"/>
    <x v="7"/>
    <s v="AP. FANNY FARMA"/>
    <x v="0"/>
  </r>
  <r>
    <x v="0"/>
    <x v="0"/>
    <x v="7"/>
    <s v="AP. HIDAYAH ABADI"/>
    <x v="0"/>
  </r>
  <r>
    <x v="0"/>
    <x v="0"/>
    <x v="8"/>
    <s v="AP. PEGADAIAN"/>
    <x v="0"/>
  </r>
  <r>
    <x v="0"/>
    <x v="0"/>
    <x v="8"/>
    <s v="AP. WIRA PRIMA GARUT"/>
    <x v="0"/>
  </r>
  <r>
    <x v="0"/>
    <x v="0"/>
    <x v="8"/>
    <s v="AP. VALEDA"/>
    <x v="0"/>
  </r>
  <r>
    <x v="0"/>
    <x v="0"/>
    <x v="8"/>
    <s v="AP. REJEKI"/>
    <x v="0"/>
  </r>
  <r>
    <x v="0"/>
    <x v="0"/>
    <x v="8"/>
    <s v="AP. SEHAT ABADI GARUT"/>
    <x v="0"/>
  </r>
  <r>
    <x v="0"/>
    <x v="0"/>
    <x v="8"/>
    <s v="AP. PRIMA"/>
    <x v="0"/>
  </r>
  <r>
    <x v="0"/>
    <x v="0"/>
    <x v="8"/>
    <s v="AP. K24"/>
    <x v="0"/>
  </r>
  <r>
    <x v="0"/>
    <x v="0"/>
    <x v="8"/>
    <s v="AP. MEDIKA UTAMA"/>
    <x v="0"/>
  </r>
  <r>
    <x v="0"/>
    <x v="0"/>
    <x v="8"/>
    <s v="AP. ASY SYIFA"/>
    <x v="0"/>
  </r>
  <r>
    <x v="0"/>
    <x v="0"/>
    <x v="8"/>
    <s v="RSU TASIK"/>
    <x v="1"/>
  </r>
  <r>
    <x v="0"/>
    <x v="0"/>
    <x v="8"/>
    <s v="KLINIK ISTIQOMAH"/>
    <x v="0"/>
  </r>
  <r>
    <x v="0"/>
    <x v="0"/>
    <x v="8"/>
    <s v="AP. GRAHA MEDIKA"/>
    <x v="0"/>
  </r>
  <r>
    <x v="0"/>
    <x v="0"/>
    <x v="8"/>
    <s v="RS. PERMATA BUNDA"/>
    <x v="1"/>
  </r>
  <r>
    <x v="0"/>
    <x v="0"/>
    <x v="8"/>
    <s v="AP. KIMIA FARMA"/>
    <x v="0"/>
  </r>
  <r>
    <x v="0"/>
    <x v="0"/>
    <x v="8"/>
    <s v="AP. PAJAJARAN"/>
    <x v="0"/>
  </r>
  <r>
    <x v="0"/>
    <x v="0"/>
    <x v="8"/>
    <s v="AP. RESIK"/>
    <x v="0"/>
  </r>
  <r>
    <x v="0"/>
    <x v="0"/>
    <x v="8"/>
    <s v="AP. AN NUR"/>
    <x v="0"/>
  </r>
  <r>
    <x v="1"/>
    <x v="1"/>
    <x v="9"/>
    <m/>
    <x v="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2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7"/>
  </r>
  <r>
    <x v="10"/>
    <x v="7"/>
  </r>
  <r>
    <x v="11"/>
    <x v="6"/>
  </r>
  <r>
    <x v="12"/>
    <x v="7"/>
  </r>
  <r>
    <x v="13"/>
    <x v="9"/>
  </r>
  <r>
    <x v="14"/>
    <x v="10"/>
  </r>
  <r>
    <x v="15"/>
    <x v="11"/>
  </r>
  <r>
    <x v="16"/>
    <x v="12"/>
  </r>
  <r>
    <x v="17"/>
    <x v="6"/>
  </r>
  <r>
    <x v="18"/>
    <x v="13"/>
  </r>
  <r>
    <x v="19"/>
    <x v="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20">
  <r>
    <x v="0"/>
    <n v="2"/>
    <x v="0"/>
  </r>
  <r>
    <x v="1"/>
    <n v="3"/>
    <x v="1"/>
  </r>
  <r>
    <x v="2"/>
    <n v="1"/>
    <x v="2"/>
  </r>
  <r>
    <x v="3"/>
    <n v="4"/>
    <x v="3"/>
  </r>
  <r>
    <x v="4"/>
    <n v="6"/>
    <x v="2"/>
  </r>
  <r>
    <x v="5"/>
    <n v="8"/>
    <x v="0"/>
  </r>
  <r>
    <x v="6"/>
    <n v="14"/>
    <x v="4"/>
  </r>
  <r>
    <x v="7"/>
    <n v="9"/>
    <x v="5"/>
  </r>
  <r>
    <x v="8"/>
    <n v="7"/>
    <x v="6"/>
  </r>
  <r>
    <x v="9"/>
    <n v="9"/>
    <x v="0"/>
  </r>
  <r>
    <x v="10"/>
    <n v="9"/>
    <x v="0"/>
  </r>
  <r>
    <x v="11"/>
    <n v="14"/>
    <x v="4"/>
  </r>
  <r>
    <x v="12"/>
    <n v="9"/>
    <x v="7"/>
  </r>
  <r>
    <x v="13"/>
    <n v="5"/>
    <x v="6"/>
  </r>
  <r>
    <x v="14"/>
    <n v="20"/>
    <x v="5"/>
  </r>
  <r>
    <x v="15"/>
    <n v="19"/>
    <x v="8"/>
  </r>
  <r>
    <x v="16"/>
    <n v="13"/>
    <x v="9"/>
  </r>
  <r>
    <x v="17"/>
    <n v="14"/>
    <x v="1"/>
  </r>
  <r>
    <x v="18"/>
    <n v="18"/>
    <x v="4"/>
  </r>
  <r>
    <x v="19"/>
    <n v="14"/>
    <x v="10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20">
  <r>
    <x v="0"/>
    <n v="2"/>
    <n v="6"/>
    <x v="0"/>
  </r>
  <r>
    <x v="1"/>
    <n v="3"/>
    <n v="11"/>
    <x v="1"/>
  </r>
  <r>
    <x v="2"/>
    <n v="1"/>
    <n v="2"/>
    <x v="2"/>
  </r>
  <r>
    <x v="3"/>
    <n v="4"/>
    <n v="1"/>
    <x v="3"/>
  </r>
  <r>
    <x v="4"/>
    <n v="6"/>
    <n v="2"/>
    <x v="4"/>
  </r>
  <r>
    <x v="5"/>
    <n v="8"/>
    <n v="6"/>
    <x v="3"/>
  </r>
  <r>
    <x v="6"/>
    <n v="14"/>
    <n v="16"/>
    <x v="3"/>
  </r>
  <r>
    <x v="7"/>
    <n v="9"/>
    <n v="13"/>
    <x v="5"/>
  </r>
  <r>
    <x v="8"/>
    <n v="7"/>
    <n v="4"/>
    <x v="6"/>
  </r>
  <r>
    <x v="9"/>
    <n v="9"/>
    <n v="6"/>
    <x v="6"/>
  </r>
  <r>
    <x v="10"/>
    <n v="9"/>
    <n v="6"/>
    <x v="6"/>
  </r>
  <r>
    <x v="11"/>
    <n v="14"/>
    <n v="16"/>
    <x v="3"/>
  </r>
  <r>
    <x v="12"/>
    <n v="9"/>
    <n v="15"/>
    <x v="7"/>
  </r>
  <r>
    <x v="13"/>
    <n v="5"/>
    <n v="4"/>
    <x v="8"/>
  </r>
  <r>
    <x v="14"/>
    <n v="20"/>
    <n v="13"/>
    <x v="9"/>
  </r>
  <r>
    <x v="15"/>
    <n v="19"/>
    <n v="20"/>
    <x v="5"/>
  </r>
  <r>
    <x v="16"/>
    <n v="13"/>
    <n v="19"/>
    <x v="7"/>
  </r>
  <r>
    <x v="17"/>
    <n v="14"/>
    <n v="11"/>
    <x v="10"/>
  </r>
  <r>
    <x v="18"/>
    <n v="18"/>
    <n v="16"/>
    <x v="6"/>
  </r>
  <r>
    <x v="19"/>
    <n v="14"/>
    <n v="10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pivotTable1.xml><?xml version="1.0" encoding="utf-8"?>
<pivotTableDefinition xmlns="http://schemas.openxmlformats.org/spreadsheetml/2006/main" name="PivotTable21" cacheId="13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70:C72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0"/>
        <item x="1"/>
        <item x="5"/>
        <item x="4"/>
        <item x="3"/>
        <item x="2"/>
        <item t="default"/>
      </items>
    </pivotField>
  </pivotFields>
  <rowFields count="2">
    <field x="1"/>
    <field x="0"/>
  </rowFields>
  <rowItems count="2">
    <i>
      <x/>
    </i>
    <i r="1">
      <x v="2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PivotTable13" cacheId="5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52:E54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PivotTable12" cacheId="4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52:C54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PivotTable10" cacheId="3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52:A54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PivotTable22" cacheId="14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70:E72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2"/>
        <item x="1"/>
        <item x="4"/>
        <item x="3"/>
        <item x="5"/>
        <item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7:B11" firstHeaderRow="1" firstDataRow="1" firstDataCol="1" rowPageCount="3" colPageCount="1"/>
  <pivotFields count="25">
    <pivotField axis="axisPage" multipleItemSelectionAllowed="1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multipleItemSelectionAllowe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>
      <items count="356">
        <item x="252"/>
        <item x="3"/>
        <item x="253"/>
        <item x="14"/>
        <item x="254"/>
        <item x="255"/>
        <item x="73"/>
        <item x="256"/>
        <item x="287"/>
        <item x="184"/>
        <item x="98"/>
        <item x="49"/>
        <item x="318"/>
        <item x="125"/>
        <item x="231"/>
        <item x="353"/>
        <item x="113"/>
        <item x="137"/>
        <item x="25"/>
        <item x="127"/>
        <item x="178"/>
        <item x="42"/>
        <item x="324"/>
        <item x="345"/>
        <item x="154"/>
        <item x="232"/>
        <item x="329"/>
        <item x="310"/>
        <item x="306"/>
        <item x="161"/>
        <item x="332"/>
        <item x="142"/>
        <item x="171"/>
        <item x="105"/>
        <item x="186"/>
        <item x="309"/>
        <item x="44"/>
        <item x="320"/>
        <item x="140"/>
        <item x="335"/>
        <item x="86"/>
        <item x="104"/>
        <item x="129"/>
        <item x="170"/>
        <item x="24"/>
        <item x="194"/>
        <item x="100"/>
        <item x="45"/>
        <item x="33"/>
        <item x="160"/>
        <item x="136"/>
        <item x="200"/>
        <item x="189"/>
        <item x="173"/>
        <item x="114"/>
        <item x="37"/>
        <item x="238"/>
        <item x="317"/>
        <item x="336"/>
        <item x="328"/>
        <item x="168"/>
        <item x="26"/>
        <item x="39"/>
        <item x="21"/>
        <item x="227"/>
        <item x="89"/>
        <item x="191"/>
        <item x="348"/>
        <item x="103"/>
        <item x="155"/>
        <item x="40"/>
        <item x="94"/>
        <item x="337"/>
        <item x="143"/>
        <item x="182"/>
        <item x="139"/>
        <item x="82"/>
        <item x="43"/>
        <item x="23"/>
        <item x="235"/>
        <item x="236"/>
        <item x="249"/>
        <item x="343"/>
        <item x="308"/>
        <item x="315"/>
        <item x="48"/>
        <item x="245"/>
        <item x="321"/>
        <item x="229"/>
        <item x="88"/>
        <item x="145"/>
        <item x="134"/>
        <item x="131"/>
        <item x="242"/>
        <item x="199"/>
        <item x="95"/>
        <item x="119"/>
        <item x="334"/>
        <item x="198"/>
        <item x="180"/>
        <item x="87"/>
        <item x="172"/>
        <item x="350"/>
        <item x="162"/>
        <item x="163"/>
        <item x="233"/>
        <item x="20"/>
        <item x="28"/>
        <item x="250"/>
        <item x="126"/>
        <item x="135"/>
        <item x="106"/>
        <item x="138"/>
        <item x="241"/>
        <item x="185"/>
        <item x="124"/>
        <item x="331"/>
        <item x="120"/>
        <item x="41"/>
        <item x="27"/>
        <item x="108"/>
        <item x="197"/>
        <item x="99"/>
        <item x="38"/>
        <item x="344"/>
        <item x="118"/>
        <item x="247"/>
        <item x="169"/>
        <item x="29"/>
        <item x="116"/>
        <item x="32"/>
        <item x="30"/>
        <item x="225"/>
        <item x="187"/>
        <item x="239"/>
        <item x="31"/>
        <item x="97"/>
        <item x="46"/>
        <item x="333"/>
        <item x="174"/>
        <item x="351"/>
        <item x="307"/>
        <item x="338"/>
        <item x="148"/>
        <item x="51"/>
        <item x="115"/>
        <item x="248"/>
        <item x="146"/>
        <item x="102"/>
        <item x="226"/>
        <item x="196"/>
        <item x="165"/>
        <item x="93"/>
        <item x="314"/>
        <item x="175"/>
        <item x="313"/>
        <item x="90"/>
        <item x="341"/>
        <item x="107"/>
        <item x="352"/>
        <item x="149"/>
        <item x="177"/>
        <item x="330"/>
        <item x="36"/>
        <item x="183"/>
        <item x="316"/>
        <item x="192"/>
        <item x="128"/>
        <item x="188"/>
        <item x="326"/>
        <item x="342"/>
        <item x="117"/>
        <item x="91"/>
        <item x="240"/>
        <item x="312"/>
        <item x="243"/>
        <item x="327"/>
        <item x="179"/>
        <item x="92"/>
        <item x="246"/>
        <item x="150"/>
        <item x="195"/>
        <item x="101"/>
        <item x="311"/>
        <item x="164"/>
        <item x="176"/>
        <item x="130"/>
        <item x="81"/>
        <item x="147"/>
        <item x="230"/>
        <item x="322"/>
        <item x="159"/>
        <item x="319"/>
        <item x="193"/>
        <item x="96"/>
        <item x="340"/>
        <item x="35"/>
        <item x="158"/>
        <item x="325"/>
        <item x="34"/>
        <item x="339"/>
        <item x="22"/>
        <item x="151"/>
        <item x="234"/>
        <item x="121"/>
        <item x="144"/>
        <item x="122"/>
        <item x="223"/>
        <item x="221"/>
        <item x="217"/>
        <item x="208"/>
        <item x="206"/>
        <item x="218"/>
        <item x="204"/>
        <item x="207"/>
        <item x="215"/>
        <item x="205"/>
        <item x="209"/>
        <item x="220"/>
        <item x="214"/>
        <item x="216"/>
        <item x="203"/>
        <item x="219"/>
        <item x="201"/>
        <item x="222"/>
        <item x="210"/>
        <item x="212"/>
        <item x="211"/>
        <item x="257"/>
        <item x="323"/>
        <item x="68"/>
        <item x="79"/>
        <item x="2"/>
        <item x="258"/>
        <item x="70"/>
        <item x="76"/>
        <item x="259"/>
        <item x="260"/>
        <item x="5"/>
        <item x="261"/>
        <item x="262"/>
        <item x="263"/>
        <item x="275"/>
        <item x="10"/>
        <item x="264"/>
        <item x="265"/>
        <item x="266"/>
        <item x="267"/>
        <item x="304"/>
        <item x="268"/>
        <item x="123"/>
        <item x="16"/>
        <item x="66"/>
        <item x="269"/>
        <item x="283"/>
        <item x="6"/>
        <item x="77"/>
        <item x="75"/>
        <item x="347"/>
        <item x="47"/>
        <item x="74"/>
        <item x="67"/>
        <item x="292"/>
        <item x="11"/>
        <item x="15"/>
        <item x="270"/>
        <item x="271"/>
        <item x="272"/>
        <item x="273"/>
        <item x="71"/>
        <item x="274"/>
        <item x="12"/>
        <item x="0"/>
        <item x="285"/>
        <item x="8"/>
        <item x="286"/>
        <item x="7"/>
        <item x="69"/>
        <item x="284"/>
        <item x="291"/>
        <item x="290"/>
        <item x="112"/>
        <item x="224"/>
        <item x="190"/>
        <item x="213"/>
        <item x="59"/>
        <item x="109"/>
        <item x="1"/>
        <item x="9"/>
        <item x="228"/>
        <item x="17"/>
        <item x="78"/>
        <item x="202"/>
        <item x="167"/>
        <item x="293"/>
        <item x="110"/>
        <item x="251"/>
        <item x="156"/>
        <item x="301"/>
        <item x="133"/>
        <item x="237"/>
        <item x="299"/>
        <item x="63"/>
        <item x="65"/>
        <item x="157"/>
        <item x="84"/>
        <item x="60"/>
        <item x="294"/>
        <item x="58"/>
        <item x="57"/>
        <item x="244"/>
        <item x="297"/>
        <item x="303"/>
        <item x="62"/>
        <item x="295"/>
        <item x="298"/>
        <item x="349"/>
        <item x="50"/>
        <item x="132"/>
        <item x="153"/>
        <item x="141"/>
        <item x="152"/>
        <item x="181"/>
        <item x="56"/>
        <item x="85"/>
        <item x="302"/>
        <item x="83"/>
        <item x="61"/>
        <item x="52"/>
        <item x="300"/>
        <item x="305"/>
        <item x="111"/>
        <item x="166"/>
        <item x="54"/>
        <item x="346"/>
        <item x="296"/>
        <item x="64"/>
        <item x="19"/>
        <item x="55"/>
        <item x="53"/>
        <item x="276"/>
        <item x="277"/>
        <item x="4"/>
        <item x="278"/>
        <item x="279"/>
        <item x="280"/>
        <item x="281"/>
        <item x="282"/>
        <item x="72"/>
        <item x="80"/>
        <item x="18"/>
        <item x="13"/>
        <item x="289"/>
        <item x="288"/>
        <item x="354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Nama Outlet" fld="3" subtotal="count" baseField="0" baseItem="0"/>
  </dataFields>
  <formats count="6"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field="4" type="button" dataOnly="0" labelOnly="1" outline="0" axis="axisRow" fieldPosition="0"/>
    </format>
    <format dxfId="8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8" cacheId="17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46:C48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PivotTable4" cacheId="15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29:C34" firstHeaderRow="1" firstDataRow="1" firstDataCol="1"/>
  <pivotFields count="2">
    <pivotField axis="axisRow" showAll="0" defaultSubtotal="0">
      <items count="20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</items>
    </pivotField>
    <pivotField axis="axisRow" showAll="0" defaultSubtotal="0">
      <items count="20">
        <item x="7"/>
        <item x="3"/>
        <item m="1" x="18"/>
        <item x="6"/>
        <item x="5"/>
        <item x="0"/>
        <item x="11"/>
        <item x="2"/>
        <item m="1" x="19"/>
        <item x="13"/>
        <item x="12"/>
        <item m="1" x="14"/>
        <item x="10"/>
        <item m="1" x="15"/>
        <item x="1"/>
        <item m="1" x="16"/>
        <item m="1" x="17"/>
        <item x="9"/>
        <item x="4"/>
        <item x="8"/>
      </items>
    </pivotField>
  </pivotFields>
  <rowFields count="2">
    <field x="1"/>
    <field x="0"/>
  </rowFields>
  <rowItems count="5">
    <i>
      <x/>
    </i>
    <i r="1">
      <x v="12"/>
    </i>
    <i>
      <x v="1"/>
    </i>
    <i r="1">
      <x v="8"/>
    </i>
    <i r="1">
      <x v="11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4">
      <autoFilter ref="A1">
        <filterColumn colId="0">
          <customFilters>
            <customFilter operator="lessThan" val="4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PivotTable3" cacheId="16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29:A35" firstHeaderRow="1" firstDataRow="1" firstDataCol="1"/>
  <pivotFields count="2">
    <pivotField axis="axisRow" showAll="0" defaultSubtotal="0">
      <items count="20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</items>
    </pivotField>
    <pivotField axis="axisRow" showAll="0" defaultSubtotal="0">
      <items count="20">
        <item x="9"/>
        <item x="14"/>
        <item x="7"/>
        <item x="8"/>
        <item x="15"/>
        <item x="5"/>
        <item x="10"/>
        <item x="19"/>
        <item x="18"/>
        <item x="17"/>
        <item x="4"/>
        <item x="3"/>
        <item x="0"/>
        <item x="2"/>
        <item x="13"/>
        <item x="12"/>
        <item x="16"/>
        <item x="11"/>
        <item x="6"/>
        <item x="1"/>
      </items>
    </pivotField>
  </pivotFields>
  <rowFields count="2">
    <field x="1"/>
    <field x="0"/>
  </rowFields>
  <rowItems count="6">
    <i>
      <x/>
    </i>
    <i r="1">
      <x v="12"/>
    </i>
    <i>
      <x v="1"/>
    </i>
    <i r="1">
      <x v="5"/>
    </i>
    <i>
      <x v="2"/>
    </i>
    <i r="1">
      <x v="8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4">
      <autoFilter ref="A1">
        <filterColumn colId="0">
          <customFilters>
            <customFilter operator="lessThan" val="4"/>
          </customFilters>
        </filterColumn>
      </autoFilter>
    </filter>
  </filters>
</pivotTableDefinition>
</file>

<file path=xl/pivotTables/pivotTable10.xml><?xml version="1.0" encoding="utf-8"?>
<pivotTableDefinition xmlns="http://schemas.openxmlformats.org/spreadsheetml/2006/main" name="PivotTable14" cacheId="6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58:A60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1.xml><?xml version="1.0" encoding="utf-8"?>
<pivotTableDefinition xmlns="http://schemas.openxmlformats.org/spreadsheetml/2006/main" name="PivotTable5" cacheId="25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29:E35" firstHeaderRow="1" firstDataRow="1" firstDataCol="1"/>
  <pivotFields count="4">
    <pivotField axis="axisRow" showAll="0" defaultSubtotal="0">
      <items count="20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</items>
    </pivotField>
    <pivotField showAll="0" defaultSubtotal="0"/>
    <pivotField showAll="0" defaultSubtotal="0"/>
    <pivotField axis="axisRow" showAll="0" defaultSubtotal="0">
      <items count="12">
        <item x="9"/>
        <item x="11"/>
        <item x="10"/>
        <item x="4"/>
        <item x="6"/>
        <item x="3"/>
        <item x="8"/>
        <item x="5"/>
        <item x="7"/>
        <item x="2"/>
        <item x="0"/>
        <item x="1"/>
      </items>
    </pivotField>
  </pivotFields>
  <rowFields count="2">
    <field x="3"/>
    <field x="0"/>
  </rowFields>
  <rowItems count="6">
    <i>
      <x/>
    </i>
    <i r="1">
      <x v="5"/>
    </i>
    <i>
      <x v="1"/>
    </i>
    <i r="1">
      <x v="1"/>
    </i>
    <i>
      <x v="2"/>
    </i>
    <i r="1">
      <x v="15"/>
    </i>
  </rowItems>
  <colItems count="1">
    <i/>
  </colItems>
  <pivotTableStyleInfo name="PivotStyleLight16" showRowHeaders="1" showColHeaders="1" showRowStripes="0" showColStripes="0" showLastColumn="1"/>
  <filters count="1">
    <filter fld="3" type="captionLessThan" evalOrder="-1" id="1" stringValue1="4">
      <autoFilter ref="A1">
        <filterColumn colId="0">
          <customFilters>
            <customFilter operator="lessThan" val="4"/>
          </customFilters>
        </filterColumn>
      </autoFilter>
    </filter>
  </filters>
</pivotTableDefinition>
</file>

<file path=xl/pivotTables/pivotTable12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46:A48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3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46:E48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4.xml><?xml version="1.0" encoding="utf-8"?>
<pivotTableDefinition xmlns="http://schemas.openxmlformats.org/spreadsheetml/2006/main" name="PivotTable18" cacheId="1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64:C66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5.xml><?xml version="1.0" encoding="utf-8"?>
<pivotTableDefinition xmlns="http://schemas.openxmlformats.org/spreadsheetml/2006/main" name="PivotTable16" cacheId="8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58:E60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6.xml><?xml version="1.0" encoding="utf-8"?>
<pivotTableDefinition xmlns="http://schemas.openxmlformats.org/spreadsheetml/2006/main" name="PivotTable19" cacheId="1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E64:E66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7.xml><?xml version="1.0" encoding="utf-8"?>
<pivotTableDefinition xmlns="http://schemas.openxmlformats.org/spreadsheetml/2006/main" name="PivotTable17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64:A66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8.xml><?xml version="1.0" encoding="utf-8"?>
<pivotTableDefinition xmlns="http://schemas.openxmlformats.org/spreadsheetml/2006/main" name="PivotTable20" cacheId="12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70:A72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0"/>
        <item x="1"/>
        <item x="5"/>
        <item x="4"/>
        <item x="3"/>
        <item x="2"/>
        <item t="default"/>
      </items>
    </pivotField>
  </pivotFields>
  <rowFields count="2">
    <field x="1"/>
    <field x="0"/>
  </rowFields>
  <rowItems count="2">
    <i>
      <x/>
    </i>
    <i r="1">
      <x v="2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19.xml><?xml version="1.0" encoding="utf-8"?>
<pivotTableDefinition xmlns="http://schemas.openxmlformats.org/spreadsheetml/2006/main" name="PivotTable15" cacheId="7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C58:C60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  <filters count="1">
    <filter fld="1" type="captionLessThan" evalOrder="-1" id="1" stringValue1="2">
      <autoFilter ref="A1">
        <filterColumn colId="0">
          <customFilters>
            <customFilter operator="lessThan" val="2"/>
          </customFilters>
        </filterColumn>
      </autoFilter>
    </filter>
  </filters>
</pivotTableDefinition>
</file>

<file path=xl/pivotTables/pivotTable20.xml><?xml version="1.0" encoding="utf-8"?>
<pivotTableDefinition xmlns="http://schemas.openxmlformats.org/spreadsheetml/2006/main" name="PivotTable18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21:B25" firstHeaderRow="1" firstDataRow="1" firstDataCol="1" rowPageCount="3" colPageCount="1"/>
  <pivotFields count="5"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multipleItemSelectionAllowe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dataField="1" showAll="0">
      <items count="5">
        <item x="0"/>
        <item x="2"/>
        <item x="1"/>
        <item h="1" x="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1" hier="-1"/>
    <pageField fld="0" hier="-1"/>
    <pageField fld="2" hier="-1"/>
  </pageFields>
  <dataFields count="1">
    <dataField name="Count of Channel" fld="4" subtotal="count" baseField="0" baseItem="0"/>
  </dataFields>
  <formats count="4">
    <format dxfId="7">
      <pivotArea outline="0" collapsedLevelsAreSubtotals="1" fieldPosition="0"/>
    </format>
    <format dxfId="6">
      <pivotArea dataOnly="0" labelOnly="1" outline="0" fieldPosition="0">
        <references count="1">
          <reference field="1" count="0"/>
        </references>
      </pivotArea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fieldPosition="0">
        <references count="1">
          <reference field="2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1.xml><?xml version="1.0" encoding="utf-8"?>
<pivotTableDefinition xmlns="http://schemas.openxmlformats.org/spreadsheetml/2006/main" name="PivotTable22" cacheId="2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95:A97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h="1" x="2"/>
        <item h="1" x="0"/>
        <item h="1"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2.xml><?xml version="1.0" encoding="utf-8"?>
<pivotTableDefinition xmlns="http://schemas.openxmlformats.org/spreadsheetml/2006/main" name="PivotTable24" cacheId="8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09:A111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4">
        <item x="1"/>
        <item h="1" x="0"/>
        <item h="1" x="2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3.xml><?xml version="1.0" encoding="utf-8"?>
<pivotTableDefinition xmlns="http://schemas.openxmlformats.org/spreadsheetml/2006/main" name="PivotTable21" cacheId="25" applyNumberFormats="0" applyBorderFormats="0" applyFontFormats="0" applyPatternFormats="0" applyAlignmentFormats="0" applyWidthHeightFormats="1" dataCaption="Values" updatedVersion="5" minRefreshableVersion="3" showCalcMbrs="0" useAutoFormatting="1" rowGrandTotals="0" itemPrintTitles="1" createdVersion="3" indent="0" outline="1" outlineData="1" multipleFieldFilters="0" rowHeaderCaption="Prioritas">
  <location ref="A80:A86" firstHeaderRow="1" firstDataRow="1" firstDataCol="1"/>
  <pivotFields count="4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showAll="0" defaultSubtotal="0"/>
    <pivotField showAll="0" defaultSubtotal="0"/>
    <pivotField axis="axisRow" showAll="0">
      <items count="13">
        <item x="9"/>
        <item x="11"/>
        <item x="10"/>
        <item h="1" x="4"/>
        <item h="1" x="6"/>
        <item h="1" x="3"/>
        <item h="1" x="8"/>
        <item h="1" x="5"/>
        <item h="1" x="7"/>
        <item h="1" x="2"/>
        <item h="1" x="0"/>
        <item h="1" x="1"/>
        <item t="default"/>
      </items>
    </pivotField>
  </pivotFields>
  <rowFields count="2">
    <field x="3"/>
    <field x="0"/>
  </rowFields>
  <rowItems count="6">
    <i>
      <x/>
    </i>
    <i r="1">
      <x v="5"/>
    </i>
    <i>
      <x v="1"/>
    </i>
    <i r="1">
      <x v="1"/>
    </i>
    <i>
      <x v="2"/>
    </i>
    <i r="1">
      <x v="15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4.xml><?xml version="1.0" encoding="utf-8"?>
<pivotTableDefinition xmlns="http://schemas.openxmlformats.org/spreadsheetml/2006/main" name="PivotTable19" cacheId="23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Aspek yang dianggap paling memuaskan">
  <location ref="A51:A57" firstHeaderRow="1" firstDataRow="1" firstDataCol="1"/>
  <pivotFields count="2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axis="axisRow" showAll="0">
      <items count="15">
        <item x="2"/>
        <item x="0"/>
        <item x="1"/>
        <item h="1" x="3"/>
        <item h="1" x="9"/>
        <item h="1" x="4"/>
        <item h="1" x="8"/>
        <item h="1" x="5"/>
        <item h="1" x="7"/>
        <item h="1" x="12"/>
        <item h="1" x="6"/>
        <item h="1" x="13"/>
        <item h="1" x="11"/>
        <item h="1" x="10"/>
        <item t="default"/>
      </items>
    </pivotField>
  </pivotFields>
  <rowFields count="2">
    <field x="1"/>
    <field x="0"/>
  </rowFields>
  <rowItems count="6">
    <i>
      <x/>
    </i>
    <i r="1">
      <x v="18"/>
    </i>
    <i>
      <x v="1"/>
    </i>
    <i r="1">
      <x v="14"/>
    </i>
    <i>
      <x v="2"/>
    </i>
    <i r="1">
      <x v="19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5.xml><?xml version="1.0" encoding="utf-8"?>
<pivotTableDefinition xmlns="http://schemas.openxmlformats.org/spreadsheetml/2006/main" name="PivotTable23" cacheId="5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02:A104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h="1"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6.xml><?xml version="1.0" encoding="utf-8"?>
<pivotTableDefinition xmlns="http://schemas.openxmlformats.org/spreadsheetml/2006/main" name="PivotTable25" cacheId="1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16:A118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1"/>
        <item h="1" x="2"/>
        <item h="1" x="0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7.xml><?xml version="1.0" encoding="utf-8"?>
<pivotTableDefinition xmlns="http://schemas.openxmlformats.org/spreadsheetml/2006/main" name="PivotTable26" cacheId="14" applyNumberFormats="0" applyBorderFormats="0" applyFontFormats="0" applyPatternFormats="0" applyAlignmentFormats="0" applyWidthHeightFormats="1" dataCaption="Values" updatedVersion="5" minRefreshableVersion="3" showCalcMbrs="0" useAutoFormatting="1" rowGrandTotals="0" itemPrintTitles="1" createdVersion="3" indent="0" outline="1" outlineData="1" multipleFieldFilters="0" rowHeaderCaption="Prioritas">
  <location ref="A123:A125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2"/>
        <item h="1" x="1"/>
        <item h="1" x="4"/>
        <item h="1" x="3"/>
        <item h="1" x="5"/>
        <item h="1"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8.xml><?xml version="1.0" encoding="utf-8"?>
<pivotTableDefinition xmlns="http://schemas.openxmlformats.org/spreadsheetml/2006/main" name="PivotTable20" cacheId="24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Aspek yang dianggap paling penting">
  <location ref="A66:A71" firstHeaderRow="1" firstDataRow="1" firstDataCol="1"/>
  <pivotFields count="3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showAll="0"/>
    <pivotField axis="axisRow" showAll="0">
      <items count="12">
        <item x="3"/>
        <item x="2"/>
        <item h="1" x="6"/>
        <item h="1" x="0"/>
        <item h="1" x="10"/>
        <item h="1" x="1"/>
        <item h="1" x="5"/>
        <item h="1" x="7"/>
        <item h="1" x="4"/>
        <item h="1" x="9"/>
        <item h="1" x="8"/>
        <item t="default"/>
      </items>
    </pivotField>
  </pivotFields>
  <rowFields count="2">
    <field x="2"/>
    <field x="0"/>
  </rowFields>
  <rowItems count="5">
    <i>
      <x/>
    </i>
    <i r="1">
      <x v="11"/>
    </i>
    <i>
      <x v="1"/>
    </i>
    <i r="1">
      <x v="7"/>
    </i>
    <i r="1">
      <x v="18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9.xml><?xml version="1.0" encoding="utf-8"?>
<pivotTableDefinition xmlns="http://schemas.openxmlformats.org/spreadsheetml/2006/main" name="PivotTable6" cacheId="16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 Improvement">
  <location ref="A86:A92" firstHeaderRow="1" firstDataRow="1" firstDataCol="1"/>
  <pivotFields count="2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axis="axisRow" showAll="0">
      <items count="21">
        <item x="9"/>
        <item x="14"/>
        <item x="7"/>
        <item h="1" x="8"/>
        <item h="1" x="15"/>
        <item h="1" x="5"/>
        <item h="1" x="10"/>
        <item h="1" x="19"/>
        <item h="1" x="18"/>
        <item h="1" x="17"/>
        <item h="1" x="4"/>
        <item h="1" x="3"/>
        <item h="1" x="0"/>
        <item h="1" x="2"/>
        <item h="1" x="13"/>
        <item h="1" x="12"/>
        <item h="1" x="16"/>
        <item h="1" x="11"/>
        <item h="1" x="6"/>
        <item h="1" x="1"/>
        <item t="default"/>
      </items>
    </pivotField>
  </pivotFields>
  <rowFields count="2">
    <field x="1"/>
    <field x="0"/>
  </rowFields>
  <rowItems count="6">
    <i>
      <x/>
    </i>
    <i r="1">
      <x v="12"/>
    </i>
    <i>
      <x v="1"/>
    </i>
    <i r="1">
      <x v="5"/>
    </i>
    <i>
      <x v="2"/>
    </i>
    <i r="1">
      <x v="8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0.xml><?xml version="1.0" encoding="utf-8"?>
<pivotTableDefinition xmlns="http://schemas.openxmlformats.org/spreadsheetml/2006/main" name="PivotTable4" cacheId="18" applyNumberFormats="0" applyBorderFormats="0" applyFontFormats="0" applyPatternFormats="0" applyAlignmentFormats="0" applyWidthHeightFormats="1" dataCaption="Values" updatedVersion="5" minRefreshableVersion="3" showCalcMbrs="0" useAutoFormatting="1" rowGrandTotals="0" itemPrintTitles="1" createdVersion="3" indent="0" outline="1" outlineData="1" multipleFieldFilters="0" rowHeaderCaption="Aspek yang dianggap paling memuaskan">
  <location ref="A54:A60" firstHeaderRow="1" firstDataRow="1" firstDataCol="1"/>
  <pivotFields count="2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axis="axisRow" showAll="0">
      <items count="20">
        <item x="4"/>
        <item x="3"/>
        <item x="2"/>
        <item h="1" x="1"/>
        <item h="1" x="0"/>
        <item h="1" x="13"/>
        <item h="1" x="5"/>
        <item h="1" x="10"/>
        <item h="1" x="7"/>
        <item h="1" x="8"/>
        <item h="1" x="16"/>
        <item h="1" x="12"/>
        <item h="1" x="17"/>
        <item h="1" x="18"/>
        <item h="1" x="11"/>
        <item h="1" x="6"/>
        <item h="1" x="14"/>
        <item h="1" x="15"/>
        <item h="1" x="9"/>
        <item t="default"/>
      </items>
    </pivotField>
  </pivotFields>
  <rowFields count="2">
    <field x="1"/>
    <field x="0"/>
  </rowFields>
  <rowItems count="6">
    <i>
      <x/>
    </i>
    <i r="1">
      <x v="7"/>
    </i>
    <i>
      <x v="1"/>
    </i>
    <i r="1">
      <x v="11"/>
    </i>
    <i>
      <x v="2"/>
    </i>
    <i r="1">
      <x v="18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1.xml><?xml version="1.0" encoding="utf-8"?>
<pivotTableDefinition xmlns="http://schemas.openxmlformats.org/spreadsheetml/2006/main" name="PivotTable16" cacheId="12" applyNumberFormats="0" applyBorderFormats="0" applyFontFormats="0" applyPatternFormats="0" applyAlignmentFormats="0" applyWidthHeightFormats="1" dataCaption="Values" updatedVersion="5" minRefreshableVersion="3" showCalcMbrs="0" useAutoFormatting="1" rowGrandTotals="0" itemPrintTitles="1" createdVersion="3" indent="0" outline="1" outlineData="1" multipleFieldFilters="0" rowHeaderCaption="Prioritas">
  <location ref="A130:A132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0"/>
        <item h="1" x="1"/>
        <item h="1" x="5"/>
        <item h="1" x="4"/>
        <item h="1" x="3"/>
        <item h="1" x="2"/>
        <item t="default"/>
      </items>
    </pivotField>
  </pivotFields>
  <rowFields count="2">
    <field x="1"/>
    <field x="0"/>
  </rowFields>
  <rowItems count="2">
    <i>
      <x/>
    </i>
    <i r="1">
      <x v="2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2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02:A104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h="1" x="0"/>
        <item h="1" x="2"/>
        <item h="1"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3.xml><?xml version="1.0" encoding="utf-8"?>
<pivotTableDefinition xmlns="http://schemas.openxmlformats.org/spreadsheetml/2006/main" name="PivotTable14" cacheId="6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16:A118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6">
        <item x="3"/>
        <item h="1" x="1"/>
        <item h="1" x="2"/>
        <item h="1" x="4"/>
        <item h="1"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4.xml><?xml version="1.0" encoding="utf-8"?>
<pivotTableDefinition xmlns="http://schemas.openxmlformats.org/spreadsheetml/2006/main" name="PivotTable5" cacheId="1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Aspek yang dianggap paling penting">
  <location ref="A70:A76" firstHeaderRow="1" firstDataRow="1" firstDataCol="1"/>
  <pivotFields count="3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showAll="0"/>
    <pivotField axis="axisRow" showAll="0">
      <items count="19">
        <item x="4"/>
        <item x="9"/>
        <item x="3"/>
        <item h="1" x="5"/>
        <item h="1" x="7"/>
        <item h="1" x="8"/>
        <item h="1" x="10"/>
        <item h="1" x="2"/>
        <item h="1" x="13"/>
        <item h="1" x="0"/>
        <item h="1" x="15"/>
        <item h="1" x="12"/>
        <item h="1" x="16"/>
        <item h="1" x="17"/>
        <item h="1" x="14"/>
        <item h="1" x="1"/>
        <item h="1" x="11"/>
        <item h="1" x="6"/>
        <item t="default"/>
      </items>
    </pivotField>
  </pivotFields>
  <rowFields count="2">
    <field x="2"/>
    <field x="0"/>
  </rowFields>
  <rowItems count="6">
    <i>
      <x/>
    </i>
    <i r="1">
      <x v="7"/>
    </i>
    <i>
      <x v="1"/>
    </i>
    <i r="1">
      <x v="12"/>
    </i>
    <i>
      <x v="2"/>
    </i>
    <i r="1">
      <x v="1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5.xml><?xml version="1.0" encoding="utf-8"?>
<pivotTableDefinition xmlns="http://schemas.openxmlformats.org/spreadsheetml/2006/main" name="PivotTable13" cacheId="3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09:A111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h="1"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6.xml><?xml version="1.0" encoding="utf-8"?>
<pivotTableDefinition xmlns="http://schemas.openxmlformats.org/spreadsheetml/2006/main" name="PivotTable15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123:A125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2"/>
        <item h="1" x="1"/>
        <item h="1"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37.xml><?xml version="1.0" encoding="utf-8"?>
<pivotTableDefinition xmlns="http://schemas.openxmlformats.org/spreadsheetml/2006/main" name="PivotTable3" cacheId="22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 chartFormat="3">
  <location ref="A19:B23" firstHeaderRow="1" firstDataRow="1" firstDataCol="1" rowPageCount="2" colPageCount="1"/>
  <pivotFields count="5">
    <pivotField axis="axisPage" showAll="0">
      <items count="3">
        <item x="0"/>
        <item x="1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5">
        <item x="0"/>
        <item x="1"/>
        <item h="1" x="3"/>
        <item x="2"/>
        <item t="default"/>
      </items>
    </pivotField>
  </pivotFields>
  <rowFields count="1">
    <field x="4"/>
  </rowFields>
  <rowItems count="4">
    <i>
      <x/>
    </i>
    <i>
      <x v="1"/>
    </i>
    <i>
      <x v="3"/>
    </i>
    <i t="grand">
      <x/>
    </i>
  </rowItems>
  <colItems count="1">
    <i/>
  </colItems>
  <pageFields count="2">
    <pageField fld="0" hier="-1"/>
    <pageField fld="1" hier="-1"/>
  </pageFields>
  <dataFields count="1">
    <dataField name="Count of Channel" fld="4" subtotal="count" baseField="0" baseItem="0"/>
  </dataFields>
  <formats count="4">
    <format dxfId="3">
      <pivotArea collapsedLevelsAreSubtotals="1" fieldPosition="0">
        <references count="1">
          <reference field="4" count="0"/>
        </references>
      </pivotArea>
    </format>
    <format dxfId="2">
      <pivotArea grandRow="1" outline="0" collapsedLevelsAreSubtotals="1" fieldPosition="0"/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8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23:B26" firstHeaderRow="1" firstDataRow="1" firstDataCol="1" rowPageCount="3" colPageCount="1"/>
  <pivotFields count="5"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multipleItemSelectionAllowed="1" showAll="0">
      <items count="11">
        <item x="0"/>
        <item h="1" x="1"/>
        <item x="2"/>
        <item x="3"/>
        <item h="1" x="4"/>
        <item x="5"/>
        <item h="1" x="6"/>
        <item h="1" x="7"/>
        <item h="1" x="8"/>
        <item h="1" x="9"/>
        <item t="default"/>
      </items>
    </pivotField>
    <pivotField showAll="0"/>
    <pivotField axis="axisRow" dataField="1" showAll="0">
      <items count="5">
        <item x="0"/>
        <item x="2"/>
        <item x="1"/>
        <item x="3"/>
        <item t="default"/>
      </items>
    </pivotField>
  </pivotFields>
  <rowFields count="1">
    <field x="4"/>
  </rowFields>
  <rowItems count="3">
    <i>
      <x/>
    </i>
    <i>
      <x v="2"/>
    </i>
    <i t="grand">
      <x/>
    </i>
  </rowItems>
  <colItems count="1">
    <i/>
  </colItems>
  <pageFields count="3">
    <pageField fld="1" hier="-1"/>
    <pageField fld="0" hier="-1"/>
    <pageField fld="2" hier="-1"/>
  </pageFields>
  <dataFields count="1">
    <dataField name="Count of Channel" fld="4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9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F41:F47" firstHeaderRow="1" firstDataRow="1" firstDataCol="1"/>
  <pivotFields count="3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showAll="0"/>
    <pivotField axis="axisRow" showAll="0">
      <items count="20">
        <item x="9"/>
        <item x="4"/>
        <item x="3"/>
        <item h="1" x="5"/>
        <item h="1" x="8"/>
        <item h="1" x="7"/>
        <item h="1" x="10"/>
        <item h="1" x="2"/>
        <item h="1" x="13"/>
        <item h="1" x="14"/>
        <item h="1" x="0"/>
        <item h="1" x="16"/>
        <item h="1" x="15"/>
        <item h="1" x="17"/>
        <item h="1" x="18"/>
        <item h="1" x="12"/>
        <item h="1" x="1"/>
        <item h="1" x="11"/>
        <item h="1" x="6"/>
        <item t="default"/>
      </items>
    </pivotField>
  </pivotFields>
  <rowFields count="2">
    <field x="2"/>
    <field x="0"/>
  </rowFields>
  <rowItems count="6">
    <i>
      <x/>
    </i>
    <i r="1">
      <x v="12"/>
    </i>
    <i>
      <x v="1"/>
    </i>
    <i r="1">
      <x v="7"/>
    </i>
    <i>
      <x v="2"/>
    </i>
    <i r="1">
      <x v="1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0.xml><?xml version="1.0" encoding="utf-8"?>
<pivotTableDefinition xmlns="http://schemas.openxmlformats.org/spreadsheetml/2006/main" name="PivotTable4" cacheId="15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56:A61" firstHeaderRow="1" firstDataRow="1" firstDataCol="1"/>
  <pivotFields count="2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axis="axisRow" showAll="0">
      <items count="21">
        <item x="7"/>
        <item x="3"/>
        <item m="1" x="18"/>
        <item h="1" x="8"/>
        <item h="1" x="6"/>
        <item h="1" x="5"/>
        <item h="1" x="4"/>
        <item h="1" x="0"/>
        <item h="1" x="11"/>
        <item h="1" x="2"/>
        <item h="1" m="1" x="19"/>
        <item h="1" x="13"/>
        <item h="1" x="12"/>
        <item h="1" m="1" x="14"/>
        <item h="1" x="10"/>
        <item h="1" m="1" x="15"/>
        <item h="1" x="1"/>
        <item h="1" m="1" x="16"/>
        <item h="1" m="1" x="17"/>
        <item h="1" x="9"/>
        <item t="default"/>
      </items>
    </pivotField>
  </pivotFields>
  <rowFields count="2">
    <field x="1"/>
    <field x="0"/>
  </rowFields>
  <rowItems count="5">
    <i>
      <x/>
    </i>
    <i r="1">
      <x v="12"/>
    </i>
    <i>
      <x v="1"/>
    </i>
    <i r="1">
      <x v="8"/>
    </i>
    <i r="1">
      <x v="1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1.xml><?xml version="1.0" encoding="utf-8"?>
<pivotTableDefinition xmlns="http://schemas.openxmlformats.org/spreadsheetml/2006/main" name="PivotTable9" cacheId="13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95:A97" firstHeaderRow="1" firstDataRow="1" firstDataCol="1"/>
  <pivotFields count="2">
    <pivotField axis="axisRow" showAll="0">
      <items count="7">
        <item x="5"/>
        <item x="1"/>
        <item x="0"/>
        <item x="2"/>
        <item x="4"/>
        <item x="3"/>
        <item t="default"/>
      </items>
    </pivotField>
    <pivotField axis="axisRow" showAll="0">
      <items count="7">
        <item x="0"/>
        <item h="1" x="1"/>
        <item h="1" x="5"/>
        <item h="1" x="4"/>
        <item h="1" x="3"/>
        <item h="1" x="2"/>
        <item t="default"/>
      </items>
    </pivotField>
  </pivotFields>
  <rowFields count="2">
    <field x="1"/>
    <field x="0"/>
  </rowFields>
  <rowItems count="2">
    <i>
      <x/>
    </i>
    <i r="1">
      <x v="2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2.xml><?xml version="1.0" encoding="utf-8"?>
<pivotTableDefinition xmlns="http://schemas.openxmlformats.org/spreadsheetml/2006/main" name="PivotTable8" cacheId="1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89:A91" firstHeaderRow="1" firstDataRow="1" firstDataCol="1"/>
  <pivotFields count="2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1"/>
        <item h="1" x="0"/>
        <item h="1" x="2"/>
        <item t="default"/>
      </items>
    </pivotField>
  </pivotFields>
  <rowFields count="2">
    <field x="1"/>
    <field x="0"/>
  </rowFields>
  <rowItems count="2">
    <i>
      <x/>
    </i>
    <i r="1">
      <x v="1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3.xml><?xml version="1.0" encoding="utf-8"?>
<pivotTableDefinition xmlns="http://schemas.openxmlformats.org/spreadsheetml/2006/main" name="PivotTable6" cacheId="4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77:A79" firstHeaderRow="1" firstDataRow="1" firstDataCol="1"/>
  <pivotFields count="2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h="1" x="0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4.xml><?xml version="1.0" encoding="utf-8"?>
<pivotTableDefinition xmlns="http://schemas.openxmlformats.org/spreadsheetml/2006/main" name="PivotTable7" cacheId="7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83:A85" firstHeaderRow="1" firstDataRow="1" firstDataCol="1"/>
  <pivotFields count="2">
    <pivotField axis="axisRow" showAll="0">
      <items count="6">
        <item x="4"/>
        <item x="1"/>
        <item x="2"/>
        <item x="3"/>
        <item x="0"/>
        <item t="default"/>
      </items>
    </pivotField>
    <pivotField axis="axisRow" showAll="0">
      <items count="6">
        <item x="3"/>
        <item h="1" x="1"/>
        <item h="1" x="2"/>
        <item h="1" x="4"/>
        <item h="1" x="0"/>
        <item t="default"/>
      </items>
    </pivotField>
  </pivotFields>
  <rowFields count="2">
    <field x="1"/>
    <field x="0"/>
  </rowFields>
  <rowItems count="2">
    <i>
      <x/>
    </i>
    <i r="1">
      <x v="3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5.xml><?xml version="1.0" encoding="utf-8"?>
<pivotTableDefinition xmlns="http://schemas.openxmlformats.org/spreadsheetml/2006/main" name="PivotTable5" cacheId="17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71:A73" firstHeaderRow="1" firstDataRow="1" firstDataCol="1"/>
  <pivotFields count="2">
    <pivotField axis="axisRow" showAll="0">
      <items count="5">
        <item x="3"/>
        <item x="0"/>
        <item x="2"/>
        <item x="1"/>
        <item t="default"/>
      </items>
    </pivotField>
    <pivotField axis="axisRow" showAll="0">
      <items count="5">
        <item x="3"/>
        <item h="1" x="2"/>
        <item h="1" x="0"/>
        <item h="1" x="1"/>
        <item t="default"/>
      </items>
    </pivotField>
  </pivotFields>
  <rowFields count="2">
    <field x="1"/>
    <field x="0"/>
  </rowFields>
  <rowItems count="2">
    <i>
      <x/>
    </i>
    <i r="1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6.xml><?xml version="1.0" encoding="utf-8"?>
<pivotTableDefinition xmlns="http://schemas.openxmlformats.org/spreadsheetml/2006/main" name="PivotTable2" cacheId="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rowHeaderCaption="Prioritas">
  <location ref="A41:A47" firstHeaderRow="1" firstDataRow="1" firstDataCol="1"/>
  <pivotFields count="2">
    <pivotField axis="axisRow" showAll="0">
      <items count="21">
        <item x="5"/>
        <item x="19"/>
        <item x="15"/>
        <item x="10"/>
        <item x="13"/>
        <item x="14"/>
        <item x="16"/>
        <item x="4"/>
        <item x="7"/>
        <item x="8"/>
        <item x="18"/>
        <item x="3"/>
        <item x="9"/>
        <item x="12"/>
        <item x="0"/>
        <item x="17"/>
        <item x="11"/>
        <item x="6"/>
        <item x="2"/>
        <item x="1"/>
        <item t="default"/>
      </items>
    </pivotField>
    <pivotField axis="axisRow" showAll="0">
      <items count="21">
        <item x="2"/>
        <item x="4"/>
        <item x="13"/>
        <item h="1" x="3"/>
        <item h="1" x="0"/>
        <item h="1" x="1"/>
        <item h="1" x="16"/>
        <item h="1" x="5"/>
        <item h="1" x="10"/>
        <item h="1" x="8"/>
        <item h="1" x="7"/>
        <item h="1" x="12"/>
        <item h="1" x="17"/>
        <item h="1" x="18"/>
        <item h="1" x="19"/>
        <item h="1" x="6"/>
        <item h="1" x="11"/>
        <item h="1" x="14"/>
        <item h="1" x="15"/>
        <item h="1" x="9"/>
        <item t="default"/>
      </items>
    </pivotField>
  </pivotFields>
  <rowFields count="2">
    <field x="1"/>
    <field x="0"/>
  </rowFields>
  <rowItems count="6">
    <i>
      <x/>
    </i>
    <i r="1">
      <x v="18"/>
    </i>
    <i>
      <x v="1"/>
    </i>
    <i r="1">
      <x v="7"/>
    </i>
    <i>
      <x v="2"/>
    </i>
    <i r="1">
      <x v="4"/>
    </i>
  </rowItems>
  <colItems count="1">
    <i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drawing" Target="../drawings/drawing2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7.xml"/><Relationship Id="rId3" Type="http://schemas.openxmlformats.org/officeDocument/2006/relationships/pivotTable" Target="../pivotTables/pivotTable22.xml"/><Relationship Id="rId7" Type="http://schemas.openxmlformats.org/officeDocument/2006/relationships/pivotTable" Target="../pivotTables/pivotTable26.xml"/><Relationship Id="rId2" Type="http://schemas.openxmlformats.org/officeDocument/2006/relationships/pivotTable" Target="../pivotTables/pivotTable21.xml"/><Relationship Id="rId1" Type="http://schemas.openxmlformats.org/officeDocument/2006/relationships/pivotTable" Target="../pivotTables/pivotTable20.xml"/><Relationship Id="rId6" Type="http://schemas.openxmlformats.org/officeDocument/2006/relationships/pivotTable" Target="../pivotTables/pivotTable25.xml"/><Relationship Id="rId5" Type="http://schemas.openxmlformats.org/officeDocument/2006/relationships/pivotTable" Target="../pivotTables/pivotTable24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3.xml"/><Relationship Id="rId9" Type="http://schemas.openxmlformats.org/officeDocument/2006/relationships/pivotTable" Target="../pivotTables/pivotTable2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6.xml"/><Relationship Id="rId3" Type="http://schemas.openxmlformats.org/officeDocument/2006/relationships/pivotTable" Target="../pivotTables/pivotTable31.xml"/><Relationship Id="rId7" Type="http://schemas.openxmlformats.org/officeDocument/2006/relationships/pivotTable" Target="../pivotTables/pivotTable35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pivotTable" Target="../pivotTables/pivotTable34.xml"/><Relationship Id="rId11" Type="http://schemas.openxmlformats.org/officeDocument/2006/relationships/drawing" Target="../drawings/drawing4.xml"/><Relationship Id="rId5" Type="http://schemas.openxmlformats.org/officeDocument/2006/relationships/pivotTable" Target="../pivotTables/pivotTable33.xml"/><Relationship Id="rId10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32.xml"/><Relationship Id="rId9" Type="http://schemas.openxmlformats.org/officeDocument/2006/relationships/pivotTable" Target="../pivotTables/pivotTable3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5.xml"/><Relationship Id="rId3" Type="http://schemas.openxmlformats.org/officeDocument/2006/relationships/pivotTable" Target="../pivotTables/pivotTable40.xml"/><Relationship Id="rId7" Type="http://schemas.openxmlformats.org/officeDocument/2006/relationships/pivotTable" Target="../pivotTables/pivotTable44.xml"/><Relationship Id="rId2" Type="http://schemas.openxmlformats.org/officeDocument/2006/relationships/pivotTable" Target="../pivotTables/pivotTable39.xml"/><Relationship Id="rId1" Type="http://schemas.openxmlformats.org/officeDocument/2006/relationships/pivotTable" Target="../pivotTables/pivotTable38.xml"/><Relationship Id="rId6" Type="http://schemas.openxmlformats.org/officeDocument/2006/relationships/pivotTable" Target="../pivotTables/pivotTable43.xml"/><Relationship Id="rId11" Type="http://schemas.openxmlformats.org/officeDocument/2006/relationships/drawing" Target="../drawings/drawing5.xml"/><Relationship Id="rId5" Type="http://schemas.openxmlformats.org/officeDocument/2006/relationships/pivotTable" Target="../pivotTables/pivotTable42.xml"/><Relationship Id="rId10" Type="http://schemas.openxmlformats.org/officeDocument/2006/relationships/printerSettings" Target="../printerSettings/printerSettings9.bin"/><Relationship Id="rId4" Type="http://schemas.openxmlformats.org/officeDocument/2006/relationships/pivotTable" Target="../pivotTables/pivotTable41.xml"/><Relationship Id="rId9" Type="http://schemas.openxmlformats.org/officeDocument/2006/relationships/pivotTable" Target="../pivotTables/pivot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92D050"/>
  </sheetPr>
  <dimension ref="A1:BB581"/>
  <sheetViews>
    <sheetView tabSelected="1" workbookViewId="0">
      <selection activeCell="B20" sqref="B20"/>
    </sheetView>
  </sheetViews>
  <sheetFormatPr defaultRowHeight="15" x14ac:dyDescent="0.25"/>
  <cols>
    <col min="1" max="1" width="54.28515625" style="28" customWidth="1"/>
    <col min="2" max="2" width="13.42578125" style="232" customWidth="1"/>
    <col min="3" max="3" width="9.28515625" style="233" customWidth="1"/>
    <col min="4" max="4" width="9.140625" style="233"/>
    <col min="5" max="5" width="19.85546875" style="233" customWidth="1"/>
    <col min="6" max="6" width="12" style="233" bestFit="1" customWidth="1"/>
    <col min="7" max="26" width="9.140625" style="233"/>
    <col min="27" max="28" width="9.140625" style="29"/>
    <col min="29" max="29" width="12.140625" style="232" bestFit="1" customWidth="1"/>
    <col min="30" max="31" width="9.140625" style="233"/>
    <col min="32" max="33" width="12" style="233" bestFit="1" customWidth="1"/>
    <col min="34" max="53" width="9.140625" style="233"/>
    <col min="54" max="16384" width="9.140625" style="54"/>
  </cols>
  <sheetData>
    <row r="1" spans="1:53" ht="90.75" customHeight="1" x14ac:dyDescent="0.25">
      <c r="A1" s="119" t="s">
        <v>248</v>
      </c>
      <c r="B1" s="243" t="s">
        <v>246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5"/>
      <c r="AC1" s="243" t="s">
        <v>247</v>
      </c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4"/>
      <c r="AP1" s="244"/>
      <c r="AQ1" s="244"/>
      <c r="AR1" s="244"/>
      <c r="AS1" s="244"/>
      <c r="AT1" s="244"/>
      <c r="AU1" s="244"/>
      <c r="AV1" s="244"/>
      <c r="AW1" s="244"/>
      <c r="AX1" s="244"/>
      <c r="AY1" s="244"/>
      <c r="AZ1" s="244"/>
      <c r="BA1" s="245"/>
    </row>
    <row r="2" spans="1:53" ht="15" hidden="1" customHeight="1" x14ac:dyDescent="0.25">
      <c r="A2" s="120"/>
      <c r="B2" s="246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8"/>
      <c r="AC2" s="246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8"/>
    </row>
    <row r="3" spans="1:53" s="55" customFormat="1" ht="15" customHeight="1" x14ac:dyDescent="0.25">
      <c r="A3" s="120"/>
      <c r="B3" s="240" t="s">
        <v>13</v>
      </c>
      <c r="C3" s="240" t="s">
        <v>8</v>
      </c>
      <c r="D3" s="240" t="s">
        <v>9</v>
      </c>
      <c r="E3" s="240" t="s">
        <v>34</v>
      </c>
      <c r="F3" s="240" t="s">
        <v>10</v>
      </c>
      <c r="G3" s="240" t="s">
        <v>14</v>
      </c>
      <c r="H3" s="240" t="s">
        <v>15</v>
      </c>
      <c r="I3" s="240" t="s">
        <v>16</v>
      </c>
      <c r="J3" s="240" t="s">
        <v>17</v>
      </c>
      <c r="K3" s="240" t="s">
        <v>18</v>
      </c>
      <c r="L3" s="240" t="s">
        <v>19</v>
      </c>
      <c r="M3" s="240" t="s">
        <v>20</v>
      </c>
      <c r="N3" s="240" t="s">
        <v>21</v>
      </c>
      <c r="O3" s="240" t="s">
        <v>22</v>
      </c>
      <c r="P3" s="240" t="s">
        <v>23</v>
      </c>
      <c r="Q3" s="240" t="s">
        <v>24</v>
      </c>
      <c r="R3" s="240" t="s">
        <v>25</v>
      </c>
      <c r="S3" s="240" t="s">
        <v>26</v>
      </c>
      <c r="T3" s="240" t="s">
        <v>27</v>
      </c>
      <c r="U3" s="240" t="s">
        <v>28</v>
      </c>
      <c r="V3" s="240" t="s">
        <v>29</v>
      </c>
      <c r="W3" s="240" t="s">
        <v>30</v>
      </c>
      <c r="X3" s="240" t="s">
        <v>31</v>
      </c>
      <c r="Y3" s="240" t="s">
        <v>32</v>
      </c>
      <c r="Z3" s="240" t="s">
        <v>33</v>
      </c>
      <c r="AA3" s="184"/>
      <c r="AB3" s="184"/>
      <c r="AC3" s="240" t="s">
        <v>13</v>
      </c>
      <c r="AD3" s="240" t="s">
        <v>8</v>
      </c>
      <c r="AE3" s="240" t="s">
        <v>9</v>
      </c>
      <c r="AF3" s="240" t="s">
        <v>11</v>
      </c>
      <c r="AG3" s="240" t="s">
        <v>10</v>
      </c>
      <c r="AH3" s="240" t="s">
        <v>14</v>
      </c>
      <c r="AI3" s="240" t="s">
        <v>15</v>
      </c>
      <c r="AJ3" s="240" t="s">
        <v>16</v>
      </c>
      <c r="AK3" s="240" t="s">
        <v>17</v>
      </c>
      <c r="AL3" s="240" t="s">
        <v>18</v>
      </c>
      <c r="AM3" s="240" t="s">
        <v>19</v>
      </c>
      <c r="AN3" s="240" t="s">
        <v>20</v>
      </c>
      <c r="AO3" s="240" t="s">
        <v>21</v>
      </c>
      <c r="AP3" s="240" t="s">
        <v>22</v>
      </c>
      <c r="AQ3" s="240" t="s">
        <v>23</v>
      </c>
      <c r="AR3" s="240" t="s">
        <v>24</v>
      </c>
      <c r="AS3" s="240" t="s">
        <v>25</v>
      </c>
      <c r="AT3" s="240" t="s">
        <v>26</v>
      </c>
      <c r="AU3" s="240" t="s">
        <v>27</v>
      </c>
      <c r="AV3" s="240" t="s">
        <v>28</v>
      </c>
      <c r="AW3" s="240" t="s">
        <v>29</v>
      </c>
      <c r="AX3" s="240" t="s">
        <v>30</v>
      </c>
      <c r="AY3" s="240" t="s">
        <v>31</v>
      </c>
      <c r="AZ3" s="240" t="s">
        <v>32</v>
      </c>
      <c r="BA3" s="240" t="s">
        <v>33</v>
      </c>
    </row>
    <row r="4" spans="1:53" ht="15" customHeight="1" x14ac:dyDescent="0.25">
      <c r="A4" s="26"/>
      <c r="B4" s="55"/>
      <c r="C4" s="56"/>
      <c r="D4" s="56"/>
      <c r="E4" s="56"/>
      <c r="F4" s="56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54"/>
      <c r="AB4" s="54"/>
      <c r="AC4" s="55"/>
      <c r="AD4" s="56"/>
      <c r="AE4" s="56"/>
      <c r="AF4" s="56"/>
      <c r="AG4" s="56"/>
      <c r="AH4" s="211"/>
      <c r="AI4" s="211"/>
      <c r="AJ4" s="211"/>
      <c r="AK4" s="211"/>
      <c r="AL4" s="211"/>
      <c r="AM4" s="211"/>
      <c r="AN4" s="211"/>
      <c r="AO4" s="211"/>
      <c r="AP4" s="211"/>
      <c r="AQ4" s="211"/>
      <c r="AR4" s="211"/>
      <c r="AS4" s="211"/>
      <c r="AT4" s="211"/>
      <c r="AU4" s="211"/>
      <c r="AV4" s="211"/>
      <c r="AW4" s="211"/>
      <c r="AX4" s="211"/>
      <c r="AY4" s="211"/>
      <c r="AZ4" s="211"/>
      <c r="BA4" s="211"/>
    </row>
    <row r="5" spans="1:53" ht="15" customHeight="1" x14ac:dyDescent="0.25">
      <c r="A5" s="26"/>
      <c r="B5" s="55"/>
      <c r="C5" s="56"/>
      <c r="D5" s="56"/>
      <c r="E5" s="56"/>
      <c r="F5" s="56"/>
      <c r="G5" s="36"/>
      <c r="H5" s="211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54"/>
      <c r="AB5" s="54"/>
      <c r="AC5" s="55"/>
      <c r="AD5" s="56"/>
      <c r="AE5" s="56"/>
      <c r="AF5" s="56"/>
      <c r="AG5" s="5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</row>
    <row r="6" spans="1:53" ht="15" customHeight="1" x14ac:dyDescent="0.25">
      <c r="A6" s="26"/>
      <c r="B6" s="55"/>
      <c r="C6" s="56"/>
      <c r="D6" s="56"/>
      <c r="E6" s="56"/>
      <c r="F6" s="5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54"/>
      <c r="AB6" s="54"/>
      <c r="AC6" s="55"/>
      <c r="AD6" s="56"/>
      <c r="AE6" s="56"/>
      <c r="AF6" s="56"/>
      <c r="AG6" s="5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</row>
    <row r="7" spans="1:53" ht="15" customHeight="1" x14ac:dyDescent="0.25">
      <c r="A7" s="26"/>
      <c r="B7" s="55"/>
      <c r="C7" s="56"/>
      <c r="D7" s="56"/>
      <c r="E7" s="56"/>
      <c r="F7" s="5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54"/>
      <c r="AB7" s="54"/>
      <c r="AC7" s="55"/>
      <c r="AD7" s="56"/>
      <c r="AE7" s="56"/>
      <c r="AF7" s="56"/>
      <c r="AG7" s="5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</row>
    <row r="8" spans="1:53" ht="15" customHeight="1" x14ac:dyDescent="0.25">
      <c r="A8" s="26"/>
      <c r="B8" s="55"/>
      <c r="C8" s="56"/>
      <c r="D8" s="56"/>
      <c r="E8" s="56"/>
      <c r="F8" s="5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54"/>
      <c r="AB8" s="54"/>
      <c r="AC8" s="55"/>
      <c r="AD8" s="56"/>
      <c r="AE8" s="56"/>
      <c r="AF8" s="56"/>
      <c r="AG8" s="5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</row>
    <row r="9" spans="1:53" ht="15" customHeight="1" x14ac:dyDescent="0.25">
      <c r="A9" s="26"/>
      <c r="B9" s="55"/>
      <c r="C9" s="56"/>
      <c r="D9" s="56"/>
      <c r="E9" s="56"/>
      <c r="F9" s="5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54"/>
      <c r="AB9" s="54"/>
      <c r="AC9" s="55"/>
      <c r="AD9" s="56"/>
      <c r="AE9" s="56"/>
      <c r="AF9" s="56"/>
      <c r="AG9" s="5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</row>
    <row r="10" spans="1:53" ht="15" customHeight="1" x14ac:dyDescent="0.4">
      <c r="A10" s="27"/>
      <c r="B10" s="55"/>
      <c r="C10" s="56"/>
      <c r="D10" s="56"/>
      <c r="E10" s="56"/>
      <c r="F10" s="5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54"/>
      <c r="AB10" s="54"/>
      <c r="AC10" s="55"/>
      <c r="AD10" s="56"/>
      <c r="AE10" s="56"/>
      <c r="AF10" s="56"/>
      <c r="AG10" s="5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</row>
    <row r="11" spans="1:53" ht="15" customHeight="1" x14ac:dyDescent="0.4">
      <c r="A11" s="27"/>
      <c r="B11" s="55"/>
      <c r="C11" s="56"/>
      <c r="D11" s="56"/>
      <c r="E11" s="56"/>
      <c r="F11" s="5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54"/>
      <c r="AB11" s="54"/>
      <c r="AC11" s="55"/>
      <c r="AD11" s="56"/>
      <c r="AE11" s="56"/>
      <c r="AF11" s="56"/>
      <c r="AG11" s="5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</row>
    <row r="12" spans="1:53" x14ac:dyDescent="0.25">
      <c r="B12" s="55"/>
      <c r="C12" s="56"/>
      <c r="D12" s="56"/>
      <c r="E12" s="56"/>
      <c r="F12" s="5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54"/>
      <c r="AB12" s="54"/>
      <c r="AC12" s="55"/>
      <c r="AD12" s="56"/>
      <c r="AE12" s="56"/>
      <c r="AF12" s="56"/>
      <c r="AG12" s="5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</row>
    <row r="13" spans="1:53" x14ac:dyDescent="0.25">
      <c r="B13" s="55"/>
      <c r="C13" s="56"/>
      <c r="D13" s="56"/>
      <c r="E13" s="56"/>
      <c r="F13" s="5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54"/>
      <c r="AB13" s="54"/>
      <c r="AC13" s="55"/>
      <c r="AD13" s="56"/>
      <c r="AE13" s="56"/>
      <c r="AF13" s="56"/>
      <c r="AG13" s="5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</row>
    <row r="14" spans="1:53" x14ac:dyDescent="0.25">
      <c r="B14" s="55"/>
      <c r="C14" s="56"/>
      <c r="D14" s="56"/>
      <c r="E14" s="56"/>
      <c r="F14" s="5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54"/>
      <c r="AB14" s="54"/>
      <c r="AC14" s="55"/>
      <c r="AD14" s="56"/>
      <c r="AE14" s="56"/>
      <c r="AF14" s="56"/>
      <c r="AG14" s="5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</row>
    <row r="15" spans="1:53" x14ac:dyDescent="0.25">
      <c r="B15" s="55"/>
      <c r="C15" s="56"/>
      <c r="D15" s="56"/>
      <c r="E15" s="56"/>
      <c r="F15" s="5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54"/>
      <c r="AB15" s="54"/>
      <c r="AC15" s="55"/>
      <c r="AD15" s="56"/>
      <c r="AE15" s="56"/>
      <c r="AF15" s="56"/>
      <c r="AG15" s="5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</row>
    <row r="16" spans="1:53" x14ac:dyDescent="0.25">
      <c r="B16" s="55"/>
      <c r="C16" s="56"/>
      <c r="D16" s="56"/>
      <c r="E16" s="56"/>
      <c r="F16" s="5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54"/>
      <c r="AB16" s="54"/>
      <c r="AC16" s="55"/>
      <c r="AD16" s="56"/>
      <c r="AE16" s="56"/>
      <c r="AF16" s="56"/>
      <c r="AG16" s="5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</row>
    <row r="17" spans="2:53" x14ac:dyDescent="0.25">
      <c r="B17" s="55"/>
      <c r="C17" s="56"/>
      <c r="D17" s="56"/>
      <c r="E17" s="56"/>
      <c r="F17" s="5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54"/>
      <c r="AB17" s="54"/>
      <c r="AC17" s="55"/>
      <c r="AD17" s="56"/>
      <c r="AE17" s="56"/>
      <c r="AF17" s="56"/>
      <c r="AG17" s="5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</row>
    <row r="18" spans="2:53" x14ac:dyDescent="0.25">
      <c r="B18" s="55"/>
      <c r="C18" s="56"/>
      <c r="D18" s="56"/>
      <c r="E18" s="56"/>
      <c r="F18" s="5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54"/>
      <c r="AB18" s="54"/>
      <c r="AC18" s="55"/>
      <c r="AD18" s="56"/>
      <c r="AE18" s="56"/>
      <c r="AF18" s="56"/>
      <c r="AG18" s="5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</row>
    <row r="19" spans="2:53" x14ac:dyDescent="0.25">
      <c r="B19" s="55"/>
      <c r="C19" s="56"/>
      <c r="D19" s="56"/>
      <c r="E19" s="56"/>
      <c r="F19" s="5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54"/>
      <c r="AB19" s="54"/>
      <c r="AC19" s="55"/>
      <c r="AD19" s="56"/>
      <c r="AE19" s="56"/>
      <c r="AF19" s="56"/>
      <c r="AG19" s="5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</row>
    <row r="20" spans="2:53" x14ac:dyDescent="0.25">
      <c r="B20" s="55"/>
      <c r="C20" s="56"/>
      <c r="D20" s="56"/>
      <c r="E20" s="56"/>
      <c r="F20" s="5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54"/>
      <c r="AB20" s="54"/>
      <c r="AC20" s="55"/>
      <c r="AD20" s="56"/>
      <c r="AE20" s="56"/>
      <c r="AF20" s="56"/>
      <c r="AG20" s="5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</row>
    <row r="21" spans="2:53" x14ac:dyDescent="0.25">
      <c r="B21" s="55"/>
      <c r="C21" s="56"/>
      <c r="D21" s="56"/>
      <c r="E21" s="56"/>
      <c r="F21" s="5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54"/>
      <c r="AB21" s="54"/>
      <c r="AC21" s="55"/>
      <c r="AD21" s="56"/>
      <c r="AE21" s="56"/>
      <c r="AF21" s="56"/>
      <c r="AG21" s="5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</row>
    <row r="22" spans="2:53" x14ac:dyDescent="0.25">
      <c r="B22" s="55"/>
      <c r="C22" s="56"/>
      <c r="D22" s="56"/>
      <c r="E22" s="56"/>
      <c r="F22" s="5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54"/>
      <c r="AB22" s="54"/>
      <c r="AC22" s="55"/>
      <c r="AD22" s="56"/>
      <c r="AE22" s="56"/>
      <c r="AF22" s="56"/>
      <c r="AG22" s="5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</row>
    <row r="23" spans="2:53" x14ac:dyDescent="0.25">
      <c r="B23" s="55"/>
      <c r="C23" s="56"/>
      <c r="D23" s="56"/>
      <c r="E23" s="56"/>
      <c r="F23" s="5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54"/>
      <c r="AB23" s="54"/>
      <c r="AC23" s="55"/>
      <c r="AD23" s="56"/>
      <c r="AE23" s="56"/>
      <c r="AF23" s="56"/>
      <c r="AG23" s="5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</row>
    <row r="24" spans="2:53" x14ac:dyDescent="0.25">
      <c r="B24" s="55"/>
      <c r="C24" s="56"/>
      <c r="D24" s="56"/>
      <c r="E24" s="56"/>
      <c r="F24" s="56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54"/>
      <c r="AB24" s="54"/>
      <c r="AC24" s="55"/>
      <c r="AD24" s="56"/>
      <c r="AE24" s="56"/>
      <c r="AF24" s="56"/>
      <c r="AG24" s="56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</row>
    <row r="25" spans="2:53" x14ac:dyDescent="0.25">
      <c r="B25" s="55"/>
      <c r="C25" s="56"/>
      <c r="D25" s="56"/>
      <c r="E25" s="56"/>
      <c r="F25" s="56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54"/>
      <c r="AB25" s="54"/>
      <c r="AC25" s="55"/>
      <c r="AD25" s="56"/>
      <c r="AE25" s="56"/>
      <c r="AF25" s="56"/>
      <c r="AG25" s="56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</row>
    <row r="26" spans="2:53" x14ac:dyDescent="0.25">
      <c r="B26" s="55"/>
      <c r="C26" s="56"/>
      <c r="D26" s="56"/>
      <c r="E26" s="56"/>
      <c r="F26" s="56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54"/>
      <c r="AB26" s="54"/>
      <c r="AC26" s="55"/>
      <c r="AD26" s="56"/>
      <c r="AE26" s="56"/>
      <c r="AF26" s="56"/>
      <c r="AG26" s="56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</row>
    <row r="27" spans="2:53" x14ac:dyDescent="0.25">
      <c r="B27" s="55"/>
      <c r="C27" s="56"/>
      <c r="D27" s="56"/>
      <c r="E27" s="56"/>
      <c r="F27" s="56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54"/>
      <c r="AB27" s="54"/>
      <c r="AC27" s="55"/>
      <c r="AD27" s="56"/>
      <c r="AE27" s="56"/>
      <c r="AF27" s="56"/>
      <c r="AG27" s="56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</row>
    <row r="28" spans="2:53" x14ac:dyDescent="0.25">
      <c r="B28" s="55"/>
      <c r="C28" s="56"/>
      <c r="D28" s="56"/>
      <c r="E28" s="56"/>
      <c r="F28" s="56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54"/>
      <c r="AB28" s="54"/>
      <c r="AC28" s="55"/>
      <c r="AD28" s="56"/>
      <c r="AE28" s="56"/>
      <c r="AF28" s="56"/>
      <c r="AG28" s="56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</row>
    <row r="29" spans="2:53" x14ac:dyDescent="0.25">
      <c r="B29" s="55"/>
      <c r="C29" s="56"/>
      <c r="D29" s="56"/>
      <c r="E29" s="56"/>
      <c r="F29" s="56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54"/>
      <c r="AB29" s="54"/>
      <c r="AC29" s="55"/>
      <c r="AD29" s="56"/>
      <c r="AE29" s="56"/>
      <c r="AF29" s="56"/>
      <c r="AG29" s="56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</row>
    <row r="30" spans="2:53" x14ac:dyDescent="0.25">
      <c r="B30" s="55"/>
      <c r="C30" s="56"/>
      <c r="D30" s="56"/>
      <c r="E30" s="56"/>
      <c r="F30" s="56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54"/>
      <c r="AB30" s="54"/>
      <c r="AC30" s="55"/>
      <c r="AD30" s="56"/>
      <c r="AE30" s="56"/>
      <c r="AF30" s="56"/>
      <c r="AG30" s="56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</row>
    <row r="31" spans="2:53" x14ac:dyDescent="0.25">
      <c r="B31" s="55"/>
      <c r="C31" s="56"/>
      <c r="D31" s="56"/>
      <c r="E31" s="56"/>
      <c r="F31" s="56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54"/>
      <c r="AB31" s="54"/>
      <c r="AC31" s="55"/>
      <c r="AD31" s="56"/>
      <c r="AE31" s="56"/>
      <c r="AF31" s="56"/>
      <c r="AG31" s="56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</row>
    <row r="32" spans="2:53" x14ac:dyDescent="0.25">
      <c r="B32" s="55"/>
      <c r="C32" s="56"/>
      <c r="D32" s="56"/>
      <c r="E32" s="56"/>
      <c r="F32" s="56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54"/>
      <c r="AB32" s="54"/>
      <c r="AC32" s="55"/>
      <c r="AD32" s="56"/>
      <c r="AE32" s="56"/>
      <c r="AF32" s="56"/>
      <c r="AG32" s="56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</row>
    <row r="33" spans="2:53" x14ac:dyDescent="0.25">
      <c r="B33" s="55"/>
      <c r="C33" s="56"/>
      <c r="D33" s="56"/>
      <c r="E33" s="56"/>
      <c r="F33" s="56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54"/>
      <c r="AB33" s="54"/>
      <c r="AC33" s="55"/>
      <c r="AD33" s="56"/>
      <c r="AE33" s="56"/>
      <c r="AF33" s="56"/>
      <c r="AG33" s="56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</row>
    <row r="34" spans="2:53" x14ac:dyDescent="0.25">
      <c r="B34" s="55"/>
      <c r="C34" s="56"/>
      <c r="D34" s="56"/>
      <c r="E34" s="56"/>
      <c r="F34" s="56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54"/>
      <c r="AB34" s="54"/>
      <c r="AC34" s="55"/>
      <c r="AD34" s="56"/>
      <c r="AE34" s="56"/>
      <c r="AF34" s="56"/>
      <c r="AG34" s="56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</row>
    <row r="35" spans="2:53" x14ac:dyDescent="0.25">
      <c r="B35" s="55"/>
      <c r="C35" s="56"/>
      <c r="D35" s="56"/>
      <c r="E35" s="56"/>
      <c r="F35" s="56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54"/>
      <c r="AB35" s="54"/>
      <c r="AC35" s="55"/>
      <c r="AD35" s="56"/>
      <c r="AE35" s="56"/>
      <c r="AF35" s="56"/>
      <c r="AG35" s="56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</row>
    <row r="36" spans="2:53" x14ac:dyDescent="0.25">
      <c r="B36" s="55"/>
      <c r="C36" s="56"/>
      <c r="D36" s="56"/>
      <c r="E36" s="56"/>
      <c r="F36" s="56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54"/>
      <c r="AB36" s="54"/>
      <c r="AC36" s="55"/>
      <c r="AD36" s="56"/>
      <c r="AE36" s="56"/>
      <c r="AF36" s="56"/>
      <c r="AG36" s="56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</row>
    <row r="37" spans="2:53" x14ac:dyDescent="0.25">
      <c r="B37" s="55"/>
      <c r="C37" s="56"/>
      <c r="D37" s="56"/>
      <c r="E37" s="56"/>
      <c r="F37" s="5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54"/>
      <c r="AB37" s="54"/>
      <c r="AC37" s="55"/>
      <c r="AD37" s="56"/>
      <c r="AE37" s="56"/>
      <c r="AF37" s="56"/>
      <c r="AG37" s="5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</row>
    <row r="38" spans="2:53" x14ac:dyDescent="0.25">
      <c r="B38" s="55"/>
      <c r="C38" s="56"/>
      <c r="D38" s="56"/>
      <c r="E38" s="56"/>
      <c r="F38" s="56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54"/>
      <c r="AB38" s="54"/>
      <c r="AC38" s="55"/>
      <c r="AD38" s="56"/>
      <c r="AE38" s="56"/>
      <c r="AF38" s="56"/>
      <c r="AG38" s="56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</row>
    <row r="39" spans="2:53" x14ac:dyDescent="0.25">
      <c r="B39" s="55"/>
      <c r="C39" s="56"/>
      <c r="D39" s="56"/>
      <c r="E39" s="56"/>
      <c r="F39" s="56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54"/>
      <c r="AB39" s="54"/>
      <c r="AC39" s="55"/>
      <c r="AD39" s="56"/>
      <c r="AE39" s="56"/>
      <c r="AF39" s="56"/>
      <c r="AG39" s="56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</row>
    <row r="40" spans="2:53" x14ac:dyDescent="0.25">
      <c r="B40" s="55"/>
      <c r="C40" s="56"/>
      <c r="D40" s="56"/>
      <c r="E40" s="56"/>
      <c r="F40" s="56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54"/>
      <c r="AB40" s="54"/>
      <c r="AC40" s="55"/>
      <c r="AD40" s="56"/>
      <c r="AE40" s="56"/>
      <c r="AF40" s="56"/>
      <c r="AG40" s="56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</row>
    <row r="41" spans="2:53" x14ac:dyDescent="0.25">
      <c r="B41" s="55"/>
      <c r="C41" s="56"/>
      <c r="D41" s="56"/>
      <c r="E41" s="56"/>
      <c r="F41" s="56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54"/>
      <c r="AB41" s="54"/>
      <c r="AC41" s="55"/>
      <c r="AD41" s="56"/>
      <c r="AE41" s="56"/>
      <c r="AF41" s="56"/>
      <c r="AG41" s="56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</row>
    <row r="42" spans="2:53" x14ac:dyDescent="0.25">
      <c r="B42" s="55"/>
      <c r="C42" s="56"/>
      <c r="D42" s="56"/>
      <c r="E42" s="56"/>
      <c r="F42" s="56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54"/>
      <c r="AB42" s="54"/>
      <c r="AC42" s="55"/>
      <c r="AD42" s="56"/>
      <c r="AE42" s="56"/>
      <c r="AF42" s="56"/>
      <c r="AG42" s="56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</row>
    <row r="43" spans="2:53" x14ac:dyDescent="0.25">
      <c r="B43" s="55"/>
      <c r="C43" s="56"/>
      <c r="D43" s="56"/>
      <c r="E43" s="56"/>
      <c r="F43" s="5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54"/>
      <c r="AB43" s="54"/>
      <c r="AC43" s="55"/>
      <c r="AD43" s="56"/>
      <c r="AE43" s="56"/>
      <c r="AF43" s="56"/>
      <c r="AG43" s="5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</row>
    <row r="44" spans="2:53" x14ac:dyDescent="0.25">
      <c r="B44" s="55"/>
      <c r="C44" s="56"/>
      <c r="D44" s="56"/>
      <c r="E44" s="56"/>
      <c r="F44" s="56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54"/>
      <c r="AB44" s="54"/>
      <c r="AC44" s="55"/>
      <c r="AD44" s="56"/>
      <c r="AE44" s="56"/>
      <c r="AF44" s="56"/>
      <c r="AG44" s="56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</row>
    <row r="45" spans="2:53" x14ac:dyDescent="0.25">
      <c r="B45" s="55"/>
      <c r="C45" s="56"/>
      <c r="D45" s="56"/>
      <c r="E45" s="56"/>
      <c r="F45" s="56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54"/>
      <c r="AB45" s="54"/>
      <c r="AC45" s="55"/>
      <c r="AD45" s="56"/>
      <c r="AE45" s="56"/>
      <c r="AF45" s="56"/>
      <c r="AG45" s="56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</row>
    <row r="46" spans="2:53" x14ac:dyDescent="0.25">
      <c r="B46" s="55"/>
      <c r="C46" s="56"/>
      <c r="D46" s="56"/>
      <c r="E46" s="56"/>
      <c r="F46" s="56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54"/>
      <c r="AB46" s="54"/>
      <c r="AC46" s="55"/>
      <c r="AD46" s="56"/>
      <c r="AE46" s="56"/>
      <c r="AF46" s="56"/>
      <c r="AG46" s="56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</row>
    <row r="47" spans="2:53" x14ac:dyDescent="0.25">
      <c r="B47" s="55"/>
      <c r="C47" s="56"/>
      <c r="D47" s="56"/>
      <c r="E47" s="56"/>
      <c r="F47" s="56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54"/>
      <c r="AB47" s="54"/>
      <c r="AC47" s="55"/>
      <c r="AD47" s="56"/>
      <c r="AE47" s="56"/>
      <c r="AF47" s="56"/>
      <c r="AG47" s="56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</row>
    <row r="48" spans="2:53" x14ac:dyDescent="0.25">
      <c r="B48" s="55"/>
      <c r="C48" s="56"/>
      <c r="D48" s="56"/>
      <c r="E48" s="56"/>
      <c r="F48" s="56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54"/>
      <c r="AB48" s="54"/>
      <c r="AC48" s="55"/>
      <c r="AD48" s="56"/>
      <c r="AE48" s="56"/>
      <c r="AF48" s="56"/>
      <c r="AG48" s="56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</row>
    <row r="49" spans="2:53" x14ac:dyDescent="0.25">
      <c r="B49" s="55"/>
      <c r="C49" s="56"/>
      <c r="D49" s="56"/>
      <c r="E49" s="56"/>
      <c r="F49" s="56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54"/>
      <c r="AB49" s="54"/>
      <c r="AC49" s="55"/>
      <c r="AD49" s="56"/>
      <c r="AE49" s="56"/>
      <c r="AF49" s="56"/>
      <c r="AG49" s="56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</row>
    <row r="50" spans="2:53" x14ac:dyDescent="0.25">
      <c r="B50" s="55"/>
      <c r="C50" s="56"/>
      <c r="D50" s="56"/>
      <c r="E50" s="56"/>
      <c r="F50" s="56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54"/>
      <c r="AB50" s="54"/>
      <c r="AC50" s="55"/>
      <c r="AD50" s="56"/>
      <c r="AE50" s="56"/>
      <c r="AF50" s="56"/>
      <c r="AG50" s="56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</row>
    <row r="51" spans="2:53" x14ac:dyDescent="0.25">
      <c r="B51" s="55"/>
      <c r="C51" s="56"/>
      <c r="D51" s="56"/>
      <c r="E51" s="56"/>
      <c r="F51" s="56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54"/>
      <c r="AB51" s="54"/>
      <c r="AC51" s="55"/>
      <c r="AD51" s="56"/>
      <c r="AE51" s="56"/>
      <c r="AF51" s="56"/>
      <c r="AG51" s="56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</row>
    <row r="52" spans="2:53" x14ac:dyDescent="0.25">
      <c r="B52" s="55"/>
      <c r="C52" s="56"/>
      <c r="D52" s="56"/>
      <c r="E52" s="56"/>
      <c r="F52" s="56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54"/>
      <c r="AB52" s="54"/>
      <c r="AC52" s="55"/>
      <c r="AD52" s="56"/>
      <c r="AE52" s="56"/>
      <c r="AF52" s="56"/>
      <c r="AG52" s="56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</row>
    <row r="53" spans="2:53" x14ac:dyDescent="0.25">
      <c r="B53" s="55"/>
      <c r="C53" s="56"/>
      <c r="D53" s="56"/>
      <c r="E53" s="56"/>
      <c r="F53" s="56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54"/>
      <c r="AB53" s="54"/>
      <c r="AC53" s="55"/>
      <c r="AD53" s="56"/>
      <c r="AE53" s="56"/>
      <c r="AF53" s="56"/>
      <c r="AG53" s="56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</row>
    <row r="54" spans="2:53" x14ac:dyDescent="0.25">
      <c r="B54" s="55"/>
      <c r="C54" s="56"/>
      <c r="D54" s="56"/>
      <c r="E54" s="56"/>
      <c r="F54" s="56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54"/>
      <c r="AB54" s="54"/>
      <c r="AC54" s="55"/>
      <c r="AD54" s="56"/>
      <c r="AE54" s="56"/>
      <c r="AF54" s="56"/>
      <c r="AG54" s="56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</row>
    <row r="55" spans="2:53" x14ac:dyDescent="0.25">
      <c r="B55" s="55"/>
      <c r="C55" s="56"/>
      <c r="D55" s="56"/>
      <c r="E55" s="56"/>
      <c r="F55" s="56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54"/>
      <c r="AB55" s="54"/>
      <c r="AC55" s="55"/>
      <c r="AD55" s="56"/>
      <c r="AE55" s="56"/>
      <c r="AF55" s="56"/>
      <c r="AG55" s="56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</row>
    <row r="56" spans="2:53" x14ac:dyDescent="0.25">
      <c r="B56" s="55"/>
      <c r="C56" s="56"/>
      <c r="D56" s="56"/>
      <c r="E56" s="56"/>
      <c r="F56" s="56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54"/>
      <c r="AB56" s="54"/>
      <c r="AC56" s="55"/>
      <c r="AD56" s="56"/>
      <c r="AE56" s="56"/>
      <c r="AF56" s="56"/>
      <c r="AG56" s="56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</row>
    <row r="57" spans="2:53" x14ac:dyDescent="0.25">
      <c r="B57" s="55"/>
      <c r="C57" s="56"/>
      <c r="D57" s="56"/>
      <c r="E57" s="56"/>
      <c r="F57" s="56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54"/>
      <c r="AB57" s="54"/>
      <c r="AC57" s="55"/>
      <c r="AD57" s="56"/>
      <c r="AE57" s="56"/>
      <c r="AF57" s="56"/>
      <c r="AG57" s="56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</row>
    <row r="58" spans="2:53" x14ac:dyDescent="0.25">
      <c r="B58" s="55"/>
      <c r="C58" s="56"/>
      <c r="D58" s="56"/>
      <c r="E58" s="56"/>
      <c r="F58" s="56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54"/>
      <c r="AB58" s="54"/>
      <c r="AC58" s="55"/>
      <c r="AD58" s="56"/>
      <c r="AE58" s="56"/>
      <c r="AF58" s="56"/>
      <c r="AG58" s="56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</row>
    <row r="59" spans="2:53" x14ac:dyDescent="0.25">
      <c r="B59" s="55"/>
      <c r="C59" s="56"/>
      <c r="D59" s="56"/>
      <c r="E59" s="56"/>
      <c r="F59" s="56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54"/>
      <c r="AB59" s="54"/>
      <c r="AC59" s="55"/>
      <c r="AD59" s="56"/>
      <c r="AE59" s="56"/>
      <c r="AF59" s="56"/>
      <c r="AG59" s="56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</row>
    <row r="60" spans="2:53" x14ac:dyDescent="0.25">
      <c r="B60" s="55"/>
      <c r="C60" s="56"/>
      <c r="D60" s="56"/>
      <c r="E60" s="56"/>
      <c r="F60" s="56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54"/>
      <c r="AB60" s="54"/>
      <c r="AC60" s="55"/>
      <c r="AD60" s="56"/>
      <c r="AE60" s="56"/>
      <c r="AF60" s="56"/>
      <c r="AG60" s="56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</row>
    <row r="61" spans="2:53" x14ac:dyDescent="0.25">
      <c r="B61" s="55"/>
      <c r="C61" s="56"/>
      <c r="D61" s="56"/>
      <c r="E61" s="56"/>
      <c r="F61" s="56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54"/>
      <c r="AB61" s="54"/>
      <c r="AC61" s="55"/>
      <c r="AD61" s="56"/>
      <c r="AE61" s="56"/>
      <c r="AF61" s="56"/>
      <c r="AG61" s="56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</row>
    <row r="62" spans="2:53" x14ac:dyDescent="0.25">
      <c r="B62" s="55"/>
      <c r="C62" s="56"/>
      <c r="D62" s="56"/>
      <c r="E62" s="56"/>
      <c r="F62" s="56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54"/>
      <c r="AB62" s="54"/>
      <c r="AC62" s="55"/>
      <c r="AD62" s="56"/>
      <c r="AE62" s="56"/>
      <c r="AF62" s="56"/>
      <c r="AG62" s="56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</row>
    <row r="63" spans="2:53" x14ac:dyDescent="0.25">
      <c r="B63" s="55"/>
      <c r="C63" s="56"/>
      <c r="D63" s="56"/>
      <c r="E63" s="56"/>
      <c r="F63" s="56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54"/>
      <c r="AB63" s="54"/>
      <c r="AC63" s="55"/>
      <c r="AD63" s="56"/>
      <c r="AE63" s="56"/>
      <c r="AF63" s="56"/>
      <c r="AG63" s="56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</row>
    <row r="64" spans="2:53" x14ac:dyDescent="0.25">
      <c r="B64" s="55"/>
      <c r="C64" s="56"/>
      <c r="D64" s="56"/>
      <c r="E64" s="56"/>
      <c r="F64" s="56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54"/>
      <c r="AB64" s="54"/>
      <c r="AC64" s="55"/>
      <c r="AD64" s="56"/>
      <c r="AE64" s="56"/>
      <c r="AF64" s="56"/>
      <c r="AG64" s="56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</row>
    <row r="65" spans="2:53" x14ac:dyDescent="0.25">
      <c r="B65" s="55"/>
      <c r="C65" s="56"/>
      <c r="D65" s="56"/>
      <c r="E65" s="56"/>
      <c r="F65" s="56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54"/>
      <c r="AB65" s="54"/>
      <c r="AC65" s="55"/>
      <c r="AD65" s="56"/>
      <c r="AE65" s="56"/>
      <c r="AF65" s="56"/>
      <c r="AG65" s="56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</row>
    <row r="66" spans="2:53" x14ac:dyDescent="0.25">
      <c r="B66" s="55"/>
      <c r="C66" s="56"/>
      <c r="D66" s="56"/>
      <c r="E66" s="56"/>
      <c r="F66" s="56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54"/>
      <c r="AB66" s="54"/>
      <c r="AC66" s="55"/>
      <c r="AD66" s="56"/>
      <c r="AE66" s="56"/>
      <c r="AF66" s="56"/>
      <c r="AG66" s="56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</row>
    <row r="67" spans="2:53" x14ac:dyDescent="0.25">
      <c r="B67" s="55"/>
      <c r="C67" s="56"/>
      <c r="D67" s="56"/>
      <c r="E67" s="56"/>
      <c r="F67" s="56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54"/>
      <c r="AB67" s="54"/>
      <c r="AC67" s="55"/>
      <c r="AD67" s="56"/>
      <c r="AE67" s="56"/>
      <c r="AF67" s="56"/>
      <c r="AG67" s="56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</row>
    <row r="68" spans="2:53" x14ac:dyDescent="0.25">
      <c r="B68" s="55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4"/>
      <c r="AB68" s="54"/>
      <c r="AC68" s="55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</row>
    <row r="69" spans="2:53" x14ac:dyDescent="0.25">
      <c r="B69" s="55"/>
      <c r="C69" s="56"/>
      <c r="D69" s="56"/>
      <c r="E69" s="56"/>
      <c r="F69" s="56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54"/>
      <c r="AB69" s="54"/>
      <c r="AC69" s="55"/>
      <c r="AD69" s="56"/>
      <c r="AE69" s="56"/>
      <c r="AF69" s="56"/>
      <c r="AG69" s="56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</row>
    <row r="70" spans="2:53" x14ac:dyDescent="0.25">
      <c r="B70" s="55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4"/>
      <c r="AB70" s="54"/>
      <c r="AC70" s="55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</row>
    <row r="71" spans="2:53" x14ac:dyDescent="0.25">
      <c r="B71" s="55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4"/>
      <c r="AB71" s="54"/>
      <c r="AC71" s="55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</row>
    <row r="72" spans="2:53" x14ac:dyDescent="0.25">
      <c r="B72" s="55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4"/>
      <c r="AB72" s="54"/>
      <c r="AC72" s="55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</row>
    <row r="73" spans="2:53" x14ac:dyDescent="0.25">
      <c r="B73" s="55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4"/>
      <c r="AB73" s="54"/>
      <c r="AC73" s="55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</row>
    <row r="74" spans="2:53" x14ac:dyDescent="0.25">
      <c r="B74" s="55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4"/>
      <c r="AB74" s="54"/>
      <c r="AC74" s="55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</row>
    <row r="75" spans="2:53" x14ac:dyDescent="0.25">
      <c r="B75" s="55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4"/>
      <c r="AB75" s="54"/>
      <c r="AC75" s="55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</row>
    <row r="76" spans="2:53" x14ac:dyDescent="0.25">
      <c r="B76" s="55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4"/>
      <c r="AB76" s="54"/>
      <c r="AC76" s="55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</row>
    <row r="77" spans="2:53" x14ac:dyDescent="0.25">
      <c r="B77" s="55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4"/>
      <c r="AB77" s="54"/>
      <c r="AC77" s="55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</row>
    <row r="78" spans="2:53" x14ac:dyDescent="0.25">
      <c r="B78" s="55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4"/>
      <c r="AB78" s="54"/>
      <c r="AC78" s="55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</row>
    <row r="79" spans="2:53" x14ac:dyDescent="0.25">
      <c r="B79" s="55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4"/>
      <c r="AB79" s="54"/>
      <c r="AC79" s="55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</row>
    <row r="80" spans="2:53" x14ac:dyDescent="0.25">
      <c r="B80" s="55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4"/>
      <c r="AB80" s="54"/>
      <c r="AC80" s="55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</row>
    <row r="81" spans="2:53" x14ac:dyDescent="0.25">
      <c r="B81" s="55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4"/>
      <c r="AB81" s="54"/>
      <c r="AC81" s="55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</row>
    <row r="82" spans="2:53" x14ac:dyDescent="0.25">
      <c r="B82" s="55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4"/>
      <c r="AB82" s="54"/>
      <c r="AC82" s="55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</row>
    <row r="83" spans="2:53" x14ac:dyDescent="0.25">
      <c r="B83" s="55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4"/>
      <c r="AB83" s="54"/>
      <c r="AC83" s="55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</row>
    <row r="84" spans="2:53" x14ac:dyDescent="0.25">
      <c r="B84" s="55"/>
      <c r="C84" s="56"/>
      <c r="D84" s="56"/>
      <c r="E84" s="56"/>
      <c r="F84" s="56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54"/>
      <c r="AB84" s="54"/>
      <c r="AC84" s="55"/>
      <c r="AD84" s="56"/>
      <c r="AE84" s="56"/>
      <c r="AF84" s="56"/>
      <c r="AG84" s="56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</row>
    <row r="85" spans="2:53" x14ac:dyDescent="0.25">
      <c r="B85" s="55"/>
      <c r="C85" s="56"/>
      <c r="D85" s="56"/>
      <c r="E85" s="56"/>
      <c r="F85" s="56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54"/>
      <c r="AB85" s="54"/>
      <c r="AC85" s="55"/>
      <c r="AD85" s="56"/>
      <c r="AE85" s="56"/>
      <c r="AF85" s="56"/>
      <c r="AG85" s="56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</row>
    <row r="86" spans="2:53" x14ac:dyDescent="0.25">
      <c r="B86" s="55"/>
      <c r="C86" s="56"/>
      <c r="D86" s="56"/>
      <c r="E86" s="56"/>
      <c r="F86" s="56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54"/>
      <c r="AB86" s="54"/>
      <c r="AC86" s="55"/>
      <c r="AD86" s="56"/>
      <c r="AE86" s="56"/>
      <c r="AF86" s="56"/>
      <c r="AG86" s="56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</row>
    <row r="87" spans="2:53" x14ac:dyDescent="0.25">
      <c r="B87" s="55"/>
      <c r="C87" s="56"/>
      <c r="D87" s="56"/>
      <c r="E87" s="56"/>
      <c r="F87" s="56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54"/>
      <c r="AB87" s="54"/>
      <c r="AC87" s="55"/>
      <c r="AD87" s="56"/>
      <c r="AE87" s="56"/>
      <c r="AF87" s="56"/>
      <c r="AG87" s="56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</row>
    <row r="88" spans="2:53" x14ac:dyDescent="0.25">
      <c r="B88" s="55"/>
      <c r="C88" s="56"/>
      <c r="D88" s="56"/>
      <c r="E88" s="56"/>
      <c r="F88" s="56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54"/>
      <c r="AB88" s="54"/>
      <c r="AC88" s="55"/>
      <c r="AD88" s="56"/>
      <c r="AE88" s="56"/>
      <c r="AF88" s="56"/>
      <c r="AG88" s="56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</row>
    <row r="89" spans="2:53" x14ac:dyDescent="0.25">
      <c r="B89" s="55"/>
      <c r="C89" s="56"/>
      <c r="D89" s="56"/>
      <c r="E89" s="56"/>
      <c r="F89" s="56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54"/>
      <c r="AB89" s="54"/>
      <c r="AC89" s="55"/>
      <c r="AD89" s="56"/>
      <c r="AE89" s="56"/>
      <c r="AF89" s="56"/>
      <c r="AG89" s="56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</row>
    <row r="90" spans="2:53" x14ac:dyDescent="0.25">
      <c r="B90" s="55"/>
      <c r="C90" s="56"/>
      <c r="D90" s="56"/>
      <c r="E90" s="56"/>
      <c r="F90" s="56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54"/>
      <c r="AB90" s="54"/>
      <c r="AC90" s="55"/>
      <c r="AD90" s="56"/>
      <c r="AE90" s="56"/>
      <c r="AF90" s="56"/>
      <c r="AG90" s="56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</row>
    <row r="91" spans="2:53" x14ac:dyDescent="0.25">
      <c r="B91" s="55"/>
      <c r="C91" s="56"/>
      <c r="D91" s="56"/>
      <c r="E91" s="56"/>
      <c r="F91" s="56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54"/>
      <c r="AB91" s="54"/>
      <c r="AC91" s="55"/>
      <c r="AD91" s="56"/>
      <c r="AE91" s="56"/>
      <c r="AF91" s="56"/>
      <c r="AG91" s="56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</row>
    <row r="92" spans="2:53" x14ac:dyDescent="0.25">
      <c r="B92" s="55"/>
      <c r="C92" s="56"/>
      <c r="D92" s="56"/>
      <c r="E92" s="56"/>
      <c r="F92" s="56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54"/>
      <c r="AB92" s="54"/>
      <c r="AC92" s="55"/>
      <c r="AD92" s="56"/>
      <c r="AE92" s="56"/>
      <c r="AF92" s="56"/>
      <c r="AG92" s="56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</row>
    <row r="93" spans="2:53" x14ac:dyDescent="0.25">
      <c r="B93" s="55"/>
      <c r="C93" s="56"/>
      <c r="D93" s="56"/>
      <c r="E93" s="56"/>
      <c r="F93" s="56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54"/>
      <c r="AB93" s="54"/>
      <c r="AC93" s="55"/>
      <c r="AD93" s="56"/>
      <c r="AE93" s="56"/>
      <c r="AF93" s="56"/>
      <c r="AG93" s="56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</row>
    <row r="94" spans="2:53" x14ac:dyDescent="0.25">
      <c r="B94" s="55"/>
      <c r="C94" s="56"/>
      <c r="D94" s="56"/>
      <c r="E94" s="56"/>
      <c r="F94" s="56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54"/>
      <c r="AB94" s="54"/>
      <c r="AC94" s="55"/>
      <c r="AD94" s="56"/>
      <c r="AE94" s="56"/>
      <c r="AF94" s="56"/>
      <c r="AG94" s="56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</row>
    <row r="95" spans="2:53" x14ac:dyDescent="0.25">
      <c r="B95" s="55"/>
      <c r="C95" s="56"/>
      <c r="D95" s="56"/>
      <c r="E95" s="56"/>
      <c r="F95" s="56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54"/>
      <c r="AB95" s="54"/>
      <c r="AC95" s="55"/>
      <c r="AD95" s="56"/>
      <c r="AE95" s="56"/>
      <c r="AF95" s="56"/>
      <c r="AG95" s="56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</row>
    <row r="96" spans="2:53" x14ac:dyDescent="0.25">
      <c r="B96" s="55"/>
      <c r="C96" s="56"/>
      <c r="D96" s="56"/>
      <c r="E96" s="56"/>
      <c r="F96" s="56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54"/>
      <c r="AB96" s="54"/>
      <c r="AC96" s="55"/>
      <c r="AD96" s="56"/>
      <c r="AE96" s="56"/>
      <c r="AF96" s="56"/>
      <c r="AG96" s="56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</row>
    <row r="97" spans="2:53" x14ac:dyDescent="0.25">
      <c r="B97" s="55"/>
      <c r="C97" s="56"/>
      <c r="D97" s="56"/>
      <c r="E97" s="56"/>
      <c r="F97" s="56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54"/>
      <c r="AB97" s="54"/>
      <c r="AC97" s="55"/>
      <c r="AD97" s="56"/>
      <c r="AE97" s="56"/>
      <c r="AF97" s="56"/>
      <c r="AG97" s="56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</row>
    <row r="98" spans="2:53" x14ac:dyDescent="0.25">
      <c r="B98" s="55"/>
      <c r="C98" s="56"/>
      <c r="D98" s="56"/>
      <c r="E98" s="56"/>
      <c r="F98" s="56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54"/>
      <c r="AB98" s="54"/>
      <c r="AC98" s="55"/>
      <c r="AD98" s="56"/>
      <c r="AE98" s="56"/>
      <c r="AF98" s="56"/>
      <c r="AG98" s="56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</row>
    <row r="99" spans="2:53" x14ac:dyDescent="0.25">
      <c r="B99" s="55"/>
      <c r="C99" s="56"/>
      <c r="D99" s="56"/>
      <c r="E99" s="56"/>
      <c r="F99" s="56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54"/>
      <c r="AB99" s="54"/>
      <c r="AC99" s="55"/>
      <c r="AD99" s="56"/>
      <c r="AE99" s="56"/>
      <c r="AF99" s="56"/>
      <c r="AG99" s="56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</row>
    <row r="100" spans="2:53" x14ac:dyDescent="0.25">
      <c r="B100" s="55"/>
      <c r="C100" s="56"/>
      <c r="D100" s="56"/>
      <c r="E100" s="56"/>
      <c r="F100" s="56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54"/>
      <c r="AB100" s="54"/>
      <c r="AC100" s="55"/>
      <c r="AD100" s="56"/>
      <c r="AE100" s="56"/>
      <c r="AF100" s="56"/>
      <c r="AG100" s="56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</row>
    <row r="101" spans="2:53" x14ac:dyDescent="0.25">
      <c r="B101" s="55"/>
      <c r="C101" s="56"/>
      <c r="D101" s="56"/>
      <c r="E101" s="56"/>
      <c r="F101" s="56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54"/>
      <c r="AB101" s="54"/>
      <c r="AC101" s="55"/>
      <c r="AD101" s="56"/>
      <c r="AE101" s="56"/>
      <c r="AF101" s="56"/>
      <c r="AG101" s="56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</row>
    <row r="102" spans="2:53" x14ac:dyDescent="0.25">
      <c r="B102" s="55"/>
      <c r="C102" s="56"/>
      <c r="D102" s="56"/>
      <c r="E102" s="56"/>
      <c r="F102" s="56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54"/>
      <c r="AB102" s="54"/>
      <c r="AC102" s="55"/>
      <c r="AD102" s="56"/>
      <c r="AE102" s="56"/>
      <c r="AF102" s="56"/>
      <c r="AG102" s="56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</row>
    <row r="103" spans="2:53" x14ac:dyDescent="0.25">
      <c r="B103" s="55"/>
      <c r="C103" s="56"/>
      <c r="D103" s="56"/>
      <c r="E103" s="56"/>
      <c r="F103" s="56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54"/>
      <c r="AB103" s="54"/>
      <c r="AC103" s="55"/>
      <c r="AD103" s="56"/>
      <c r="AE103" s="56"/>
      <c r="AF103" s="56"/>
      <c r="AG103" s="56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</row>
    <row r="104" spans="2:53" x14ac:dyDescent="0.25">
      <c r="B104" s="55"/>
      <c r="C104" s="56"/>
      <c r="D104" s="56"/>
      <c r="E104" s="56"/>
      <c r="F104" s="56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54"/>
      <c r="AB104" s="54"/>
      <c r="AC104" s="55"/>
      <c r="AD104" s="56"/>
      <c r="AE104" s="56"/>
      <c r="AF104" s="56"/>
      <c r="AG104" s="56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</row>
    <row r="105" spans="2:53" x14ac:dyDescent="0.25">
      <c r="B105" s="55"/>
      <c r="C105" s="56"/>
      <c r="D105" s="56"/>
      <c r="E105" s="56"/>
      <c r="F105" s="56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54"/>
      <c r="AB105" s="54"/>
      <c r="AC105" s="55"/>
      <c r="AD105" s="56"/>
      <c r="AE105" s="56"/>
      <c r="AF105" s="56"/>
      <c r="AG105" s="56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</row>
    <row r="106" spans="2:53" x14ac:dyDescent="0.25">
      <c r="B106" s="55"/>
      <c r="C106" s="56"/>
      <c r="D106" s="56"/>
      <c r="E106" s="56"/>
      <c r="F106" s="56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54"/>
      <c r="AB106" s="54"/>
      <c r="AC106" s="55"/>
      <c r="AD106" s="56"/>
      <c r="AE106" s="56"/>
      <c r="AF106" s="56"/>
      <c r="AG106" s="56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</row>
    <row r="107" spans="2:53" x14ac:dyDescent="0.25">
      <c r="B107" s="55"/>
      <c r="C107" s="56"/>
      <c r="D107" s="56"/>
      <c r="E107" s="56"/>
      <c r="F107" s="56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54"/>
      <c r="AB107" s="54"/>
      <c r="AC107" s="55"/>
      <c r="AD107" s="56"/>
      <c r="AE107" s="56"/>
      <c r="AF107" s="56"/>
      <c r="AG107" s="56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</row>
    <row r="108" spans="2:53" x14ac:dyDescent="0.25">
      <c r="B108" s="55"/>
      <c r="C108" s="56"/>
      <c r="D108" s="56"/>
      <c r="E108" s="56"/>
      <c r="F108" s="56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54"/>
      <c r="AB108" s="54"/>
      <c r="AC108" s="55"/>
      <c r="AD108" s="56"/>
      <c r="AE108" s="56"/>
      <c r="AF108" s="56"/>
      <c r="AG108" s="56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</row>
    <row r="109" spans="2:53" x14ac:dyDescent="0.25">
      <c r="B109" s="55"/>
      <c r="C109" s="56"/>
      <c r="D109" s="56"/>
      <c r="E109" s="56"/>
      <c r="F109" s="56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54"/>
      <c r="AB109" s="54"/>
      <c r="AC109" s="55"/>
      <c r="AD109" s="56"/>
      <c r="AE109" s="56"/>
      <c r="AF109" s="56"/>
      <c r="AG109" s="56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</row>
    <row r="110" spans="2:53" x14ac:dyDescent="0.25">
      <c r="B110" s="55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184"/>
      <c r="AB110" s="184"/>
      <c r="AC110" s="55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</row>
    <row r="111" spans="2:53" x14ac:dyDescent="0.25">
      <c r="B111" s="55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184"/>
      <c r="AB111" s="184"/>
      <c r="AC111" s="55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</row>
    <row r="112" spans="2:53" x14ac:dyDescent="0.25">
      <c r="B112" s="55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184"/>
      <c r="AB112" s="184"/>
      <c r="AC112" s="55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</row>
    <row r="113" spans="2:53" x14ac:dyDescent="0.25">
      <c r="B113" s="55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184"/>
      <c r="AB113" s="184"/>
      <c r="AC113" s="55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</row>
    <row r="114" spans="2:53" x14ac:dyDescent="0.25">
      <c r="B114" s="55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184"/>
      <c r="AB114" s="184"/>
      <c r="AC114" s="55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</row>
    <row r="115" spans="2:53" x14ac:dyDescent="0.25">
      <c r="B115" s="55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184"/>
      <c r="AB115" s="184"/>
      <c r="AC115" s="55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</row>
    <row r="116" spans="2:53" x14ac:dyDescent="0.25">
      <c r="B116" s="55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184"/>
      <c r="AB116" s="184"/>
      <c r="AC116" s="55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</row>
    <row r="117" spans="2:53" x14ac:dyDescent="0.25">
      <c r="B117" s="55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184"/>
      <c r="AB117" s="184"/>
      <c r="AC117" s="55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</row>
    <row r="118" spans="2:53" x14ac:dyDescent="0.25">
      <c r="B118" s="55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184"/>
      <c r="AB118" s="184"/>
      <c r="AC118" s="55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</row>
    <row r="119" spans="2:53" x14ac:dyDescent="0.25">
      <c r="B119" s="55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184"/>
      <c r="AB119" s="184"/>
      <c r="AC119" s="55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</row>
    <row r="120" spans="2:53" x14ac:dyDescent="0.25">
      <c r="B120" s="55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184"/>
      <c r="AB120" s="184"/>
      <c r="AC120" s="55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</row>
    <row r="121" spans="2:53" x14ac:dyDescent="0.25">
      <c r="B121" s="55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184"/>
      <c r="AB121" s="184"/>
      <c r="AC121" s="55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</row>
    <row r="122" spans="2:53" x14ac:dyDescent="0.25">
      <c r="B122" s="55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184"/>
      <c r="AB122" s="184"/>
      <c r="AC122" s="55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</row>
    <row r="123" spans="2:53" x14ac:dyDescent="0.25">
      <c r="B123" s="55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184"/>
      <c r="AB123" s="184"/>
      <c r="AC123" s="55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</row>
    <row r="124" spans="2:53" x14ac:dyDescent="0.25">
      <c r="B124" s="55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184"/>
      <c r="AB124" s="184"/>
      <c r="AC124" s="55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</row>
    <row r="125" spans="2:53" x14ac:dyDescent="0.25">
      <c r="B125" s="55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184"/>
      <c r="AB125" s="184"/>
      <c r="AC125" s="55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</row>
    <row r="126" spans="2:53" x14ac:dyDescent="0.25">
      <c r="B126" s="55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184"/>
      <c r="AB126" s="184"/>
      <c r="AC126" s="55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</row>
    <row r="127" spans="2:53" x14ac:dyDescent="0.25">
      <c r="B127" s="55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184"/>
      <c r="AB127" s="184"/>
      <c r="AC127" s="55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</row>
    <row r="128" spans="2:53" x14ac:dyDescent="0.25">
      <c r="B128" s="55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184"/>
      <c r="AB128" s="184"/>
      <c r="AC128" s="55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</row>
    <row r="129" spans="2:53" x14ac:dyDescent="0.25">
      <c r="B129" s="55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184"/>
      <c r="AB129" s="184"/>
      <c r="AC129" s="55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</row>
    <row r="130" spans="2:53" x14ac:dyDescent="0.25">
      <c r="B130" s="55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184"/>
      <c r="AB130" s="184"/>
      <c r="AC130" s="55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</row>
    <row r="131" spans="2:53" x14ac:dyDescent="0.25">
      <c r="B131" s="55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184"/>
      <c r="AB131" s="184"/>
      <c r="AC131" s="55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</row>
    <row r="132" spans="2:53" x14ac:dyDescent="0.25">
      <c r="B132" s="55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184"/>
      <c r="AB132" s="184"/>
      <c r="AC132" s="55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</row>
    <row r="133" spans="2:53" x14ac:dyDescent="0.25">
      <c r="B133" s="55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184"/>
      <c r="AB133" s="184"/>
      <c r="AC133" s="55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</row>
    <row r="134" spans="2:53" x14ac:dyDescent="0.25">
      <c r="B134" s="55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184"/>
      <c r="AB134" s="184"/>
      <c r="AC134" s="55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</row>
    <row r="135" spans="2:53" x14ac:dyDescent="0.25">
      <c r="B135" s="55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184"/>
      <c r="AB135" s="184"/>
      <c r="AC135" s="55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</row>
    <row r="136" spans="2:53" x14ac:dyDescent="0.25">
      <c r="B136" s="55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184"/>
      <c r="AB136" s="184"/>
      <c r="AC136" s="55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</row>
    <row r="137" spans="2:53" x14ac:dyDescent="0.25">
      <c r="B137" s="55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184"/>
      <c r="AB137" s="184"/>
      <c r="AC137" s="55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</row>
    <row r="138" spans="2:53" x14ac:dyDescent="0.25">
      <c r="B138" s="55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184"/>
      <c r="AB138" s="184"/>
      <c r="AC138" s="55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</row>
    <row r="139" spans="2:53" x14ac:dyDescent="0.25">
      <c r="B139" s="55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184"/>
      <c r="AB139" s="184"/>
      <c r="AC139" s="55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</row>
    <row r="140" spans="2:53" x14ac:dyDescent="0.25">
      <c r="B140" s="55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184"/>
      <c r="AB140" s="184"/>
      <c r="AC140" s="55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</row>
    <row r="141" spans="2:53" x14ac:dyDescent="0.25">
      <c r="B141" s="55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184"/>
      <c r="AB141" s="184"/>
      <c r="AC141" s="55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</row>
    <row r="142" spans="2:53" x14ac:dyDescent="0.25">
      <c r="B142" s="55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184"/>
      <c r="AB142" s="184"/>
      <c r="AC142" s="55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</row>
    <row r="143" spans="2:53" x14ac:dyDescent="0.25">
      <c r="B143" s="55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184"/>
      <c r="AB143" s="184"/>
      <c r="AC143" s="55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</row>
    <row r="144" spans="2:53" x14ac:dyDescent="0.25">
      <c r="B144" s="55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184"/>
      <c r="AB144" s="184"/>
      <c r="AC144" s="55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</row>
    <row r="145" spans="2:53" x14ac:dyDescent="0.25">
      <c r="B145" s="55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184"/>
      <c r="AB145" s="184"/>
      <c r="AC145" s="55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</row>
    <row r="146" spans="2:53" x14ac:dyDescent="0.25">
      <c r="B146" s="55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184"/>
      <c r="AB146" s="184"/>
      <c r="AC146" s="55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</row>
    <row r="147" spans="2:53" x14ac:dyDescent="0.25">
      <c r="B147" s="55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184"/>
      <c r="AB147" s="184"/>
      <c r="AC147" s="55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</row>
    <row r="148" spans="2:53" x14ac:dyDescent="0.25">
      <c r="B148" s="55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184"/>
      <c r="AB148" s="184"/>
      <c r="AC148" s="55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</row>
    <row r="149" spans="2:53" x14ac:dyDescent="0.25">
      <c r="B149" s="55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184"/>
      <c r="AB149" s="184"/>
      <c r="AC149" s="55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</row>
    <row r="150" spans="2:53" x14ac:dyDescent="0.25">
      <c r="B150" s="55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184"/>
      <c r="AB150" s="184"/>
      <c r="AC150" s="55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</row>
    <row r="151" spans="2:53" x14ac:dyDescent="0.25"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184"/>
      <c r="AB151" s="184"/>
      <c r="AC151" s="55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</row>
    <row r="152" spans="2:53" x14ac:dyDescent="0.25"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184"/>
      <c r="AB152" s="184"/>
      <c r="AC152" s="55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</row>
    <row r="153" spans="2:53" x14ac:dyDescent="0.25">
      <c r="B153" s="55"/>
      <c r="C153" s="234"/>
      <c r="D153" s="234"/>
      <c r="E153" s="234"/>
      <c r="F153" s="234"/>
      <c r="G153" s="234"/>
      <c r="H153" s="234"/>
      <c r="I153" s="234"/>
      <c r="J153" s="234"/>
      <c r="K153" s="234"/>
      <c r="L153" s="234"/>
      <c r="M153" s="234"/>
      <c r="N153" s="234"/>
      <c r="O153" s="234"/>
      <c r="P153" s="234"/>
      <c r="Q153" s="234"/>
      <c r="R153" s="234"/>
      <c r="S153" s="234"/>
      <c r="T153" s="234"/>
      <c r="U153" s="234"/>
      <c r="V153" s="234"/>
      <c r="W153" s="234"/>
      <c r="X153" s="234"/>
      <c r="Y153" s="234"/>
      <c r="Z153" s="234"/>
      <c r="AA153" s="184"/>
      <c r="AB153" s="184"/>
      <c r="AC153" s="55"/>
      <c r="AD153" s="234"/>
      <c r="AE153" s="234"/>
      <c r="AF153" s="234"/>
      <c r="AG153" s="234"/>
      <c r="AH153" s="234"/>
      <c r="AI153" s="234"/>
      <c r="AJ153" s="234"/>
      <c r="AK153" s="234"/>
      <c r="AL153" s="234"/>
      <c r="AM153" s="234"/>
      <c r="AN153" s="234"/>
      <c r="AO153" s="234"/>
      <c r="AP153" s="234"/>
      <c r="AQ153" s="234"/>
      <c r="AR153" s="234"/>
      <c r="AS153" s="234"/>
      <c r="AT153" s="234"/>
      <c r="AU153" s="234"/>
      <c r="AV153" s="234"/>
      <c r="AW153" s="234"/>
      <c r="AX153" s="234"/>
      <c r="AY153" s="234"/>
      <c r="AZ153" s="234"/>
      <c r="BA153" s="234"/>
    </row>
    <row r="154" spans="2:53" x14ac:dyDescent="0.25">
      <c r="B154" s="55"/>
      <c r="C154" s="56"/>
      <c r="D154" s="56"/>
      <c r="E154" s="42"/>
      <c r="F154" s="5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54"/>
      <c r="AB154" s="54"/>
      <c r="AC154" s="55"/>
      <c r="AD154" s="56"/>
      <c r="AE154" s="56"/>
      <c r="AF154" s="42"/>
      <c r="AG154" s="55"/>
      <c r="AH154" s="212"/>
      <c r="AI154" s="212"/>
      <c r="AJ154" s="212"/>
      <c r="AK154" s="212"/>
      <c r="AL154" s="212"/>
      <c r="AM154" s="212"/>
      <c r="AN154" s="212"/>
      <c r="AO154" s="212"/>
      <c r="AP154" s="212"/>
      <c r="AQ154" s="212"/>
      <c r="AR154" s="212"/>
      <c r="AS154" s="212"/>
      <c r="AT154" s="212"/>
      <c r="AU154" s="212"/>
      <c r="AV154" s="212"/>
      <c r="AW154" s="212"/>
      <c r="AX154" s="212"/>
      <c r="AY154" s="212"/>
      <c r="AZ154" s="212"/>
      <c r="BA154" s="212"/>
    </row>
    <row r="155" spans="2:53" x14ac:dyDescent="0.25">
      <c r="B155" s="55"/>
      <c r="C155" s="56"/>
      <c r="D155" s="56"/>
      <c r="E155" s="42"/>
      <c r="F155" s="5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54"/>
      <c r="AB155" s="54"/>
      <c r="AC155" s="55"/>
      <c r="AD155" s="56"/>
      <c r="AE155" s="56"/>
      <c r="AF155" s="42"/>
      <c r="AG155" s="55"/>
      <c r="AH155" s="212"/>
      <c r="AI155" s="212"/>
      <c r="AJ155" s="212"/>
      <c r="AK155" s="212"/>
      <c r="AL155" s="212"/>
      <c r="AM155" s="212"/>
      <c r="AN155" s="212"/>
      <c r="AO155" s="212"/>
      <c r="AP155" s="212"/>
      <c r="AQ155" s="212"/>
      <c r="AR155" s="212"/>
      <c r="AS155" s="212"/>
      <c r="AT155" s="212"/>
      <c r="AU155" s="212"/>
      <c r="AV155" s="212"/>
      <c r="AW155" s="212"/>
      <c r="AX155" s="212"/>
      <c r="AY155" s="212"/>
      <c r="AZ155" s="212"/>
      <c r="BA155" s="212"/>
    </row>
    <row r="156" spans="2:53" x14ac:dyDescent="0.25">
      <c r="B156" s="55"/>
      <c r="C156" s="56"/>
      <c r="D156" s="56"/>
      <c r="E156" s="42"/>
      <c r="F156" s="5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54"/>
      <c r="AB156" s="54"/>
      <c r="AC156" s="55"/>
      <c r="AD156" s="56"/>
      <c r="AE156" s="56"/>
      <c r="AF156" s="42"/>
      <c r="AG156" s="55"/>
      <c r="AH156" s="212"/>
      <c r="AI156" s="212"/>
      <c r="AJ156" s="212"/>
      <c r="AK156" s="212"/>
      <c r="AL156" s="212"/>
      <c r="AM156" s="212"/>
      <c r="AN156" s="212"/>
      <c r="AO156" s="212"/>
      <c r="AP156" s="212"/>
      <c r="AQ156" s="212"/>
      <c r="AR156" s="212"/>
      <c r="AS156" s="212"/>
      <c r="AT156" s="212"/>
      <c r="AU156" s="212"/>
      <c r="AV156" s="212"/>
      <c r="AW156" s="212"/>
      <c r="AX156" s="212"/>
      <c r="AY156" s="212"/>
      <c r="AZ156" s="212"/>
      <c r="BA156" s="212"/>
    </row>
    <row r="157" spans="2:53" x14ac:dyDescent="0.25">
      <c r="B157" s="55"/>
      <c r="C157" s="56"/>
      <c r="D157" s="56"/>
      <c r="E157" s="42"/>
      <c r="F157" s="5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54"/>
      <c r="AB157" s="54"/>
      <c r="AC157" s="55"/>
      <c r="AD157" s="56"/>
      <c r="AE157" s="56"/>
      <c r="AF157" s="42"/>
      <c r="AG157" s="55"/>
      <c r="AH157" s="212"/>
      <c r="AI157" s="212"/>
      <c r="AJ157" s="212"/>
      <c r="AK157" s="212"/>
      <c r="AL157" s="212"/>
      <c r="AM157" s="212"/>
      <c r="AN157" s="212"/>
      <c r="AO157" s="212"/>
      <c r="AP157" s="212"/>
      <c r="AQ157" s="212"/>
      <c r="AR157" s="212"/>
      <c r="AS157" s="212"/>
      <c r="AT157" s="212"/>
      <c r="AU157" s="212"/>
      <c r="AV157" s="212"/>
      <c r="AW157" s="212"/>
      <c r="AX157" s="212"/>
      <c r="AY157" s="212"/>
      <c r="AZ157" s="212"/>
      <c r="BA157" s="212"/>
    </row>
    <row r="158" spans="2:53" x14ac:dyDescent="0.25">
      <c r="B158" s="55"/>
      <c r="C158" s="56"/>
      <c r="D158" s="56"/>
      <c r="E158" s="42"/>
      <c r="F158" s="5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54"/>
      <c r="AB158" s="54"/>
      <c r="AC158" s="55"/>
      <c r="AD158" s="56"/>
      <c r="AE158" s="56"/>
      <c r="AF158" s="42"/>
      <c r="AG158" s="55"/>
      <c r="AH158" s="212"/>
      <c r="AI158" s="212"/>
      <c r="AJ158" s="212"/>
      <c r="AK158" s="212"/>
      <c r="AL158" s="212"/>
      <c r="AM158" s="212"/>
      <c r="AN158" s="212"/>
      <c r="AO158" s="212"/>
      <c r="AP158" s="212"/>
      <c r="AQ158" s="212"/>
      <c r="AR158" s="212"/>
      <c r="AS158" s="212"/>
      <c r="AT158" s="212"/>
      <c r="AU158" s="212"/>
      <c r="AV158" s="212"/>
      <c r="AW158" s="212"/>
      <c r="AX158" s="212"/>
      <c r="AY158" s="212"/>
      <c r="AZ158" s="212"/>
      <c r="BA158" s="212"/>
    </row>
    <row r="159" spans="2:53" x14ac:dyDescent="0.25">
      <c r="B159" s="55"/>
      <c r="C159" s="56"/>
      <c r="D159" s="56"/>
      <c r="E159" s="42"/>
      <c r="F159" s="5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54"/>
      <c r="AB159" s="54"/>
      <c r="AC159" s="55"/>
      <c r="AD159" s="56"/>
      <c r="AE159" s="56"/>
      <c r="AF159" s="42"/>
      <c r="AG159" s="55"/>
      <c r="AH159" s="212"/>
      <c r="AI159" s="212"/>
      <c r="AJ159" s="212"/>
      <c r="AK159" s="212"/>
      <c r="AL159" s="212"/>
      <c r="AM159" s="212"/>
      <c r="AN159" s="212"/>
      <c r="AO159" s="212"/>
      <c r="AP159" s="212"/>
      <c r="AQ159" s="212"/>
      <c r="AR159" s="212"/>
      <c r="AS159" s="212"/>
      <c r="AT159" s="212"/>
      <c r="AU159" s="212"/>
      <c r="AV159" s="212"/>
      <c r="AW159" s="212"/>
      <c r="AX159" s="212"/>
      <c r="AY159" s="212"/>
      <c r="AZ159" s="212"/>
      <c r="BA159" s="212"/>
    </row>
    <row r="160" spans="2:53" x14ac:dyDescent="0.25">
      <c r="B160" s="55"/>
      <c r="C160" s="56"/>
      <c r="D160" s="56"/>
      <c r="E160" s="42"/>
      <c r="F160" s="5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54"/>
      <c r="AB160" s="54"/>
      <c r="AC160" s="55"/>
      <c r="AD160" s="56"/>
      <c r="AE160" s="56"/>
      <c r="AF160" s="42"/>
      <c r="AG160" s="55"/>
      <c r="AH160" s="212"/>
      <c r="AI160" s="212"/>
      <c r="AJ160" s="212"/>
      <c r="AK160" s="212"/>
      <c r="AL160" s="212"/>
      <c r="AM160" s="212"/>
      <c r="AN160" s="212"/>
      <c r="AO160" s="212"/>
      <c r="AP160" s="212"/>
      <c r="AQ160" s="212"/>
      <c r="AR160" s="212"/>
      <c r="AS160" s="212"/>
      <c r="AT160" s="212"/>
      <c r="AU160" s="212"/>
      <c r="AV160" s="212"/>
      <c r="AW160" s="212"/>
      <c r="AX160" s="212"/>
      <c r="AY160" s="212"/>
      <c r="AZ160" s="212"/>
      <c r="BA160" s="212"/>
    </row>
    <row r="161" spans="2:53" x14ac:dyDescent="0.25">
      <c r="B161" s="55"/>
      <c r="C161" s="56"/>
      <c r="D161" s="56"/>
      <c r="E161" s="42"/>
      <c r="F161" s="5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54"/>
      <c r="AB161" s="54"/>
      <c r="AC161" s="55"/>
      <c r="AD161" s="56"/>
      <c r="AE161" s="56"/>
      <c r="AF161" s="42"/>
      <c r="AG161" s="55"/>
      <c r="AH161" s="212"/>
      <c r="AI161" s="212"/>
      <c r="AJ161" s="212"/>
      <c r="AK161" s="212"/>
      <c r="AL161" s="212"/>
      <c r="AM161" s="212"/>
      <c r="AN161" s="212"/>
      <c r="AO161" s="212"/>
      <c r="AP161" s="212"/>
      <c r="AQ161" s="212"/>
      <c r="AR161" s="212"/>
      <c r="AS161" s="212"/>
      <c r="AT161" s="212"/>
      <c r="AU161" s="212"/>
      <c r="AV161" s="212"/>
      <c r="AW161" s="212"/>
      <c r="AX161" s="212"/>
      <c r="AY161" s="212"/>
      <c r="AZ161" s="212"/>
      <c r="BA161" s="212"/>
    </row>
    <row r="162" spans="2:53" x14ac:dyDescent="0.25">
      <c r="B162" s="55"/>
      <c r="C162" s="56"/>
      <c r="D162" s="56"/>
      <c r="E162" s="42"/>
      <c r="F162" s="5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54"/>
      <c r="AB162" s="54"/>
      <c r="AC162" s="55"/>
      <c r="AD162" s="56"/>
      <c r="AE162" s="56"/>
      <c r="AF162" s="42"/>
      <c r="AG162" s="55"/>
      <c r="AH162" s="212"/>
      <c r="AI162" s="212"/>
      <c r="AJ162" s="212"/>
      <c r="AK162" s="212"/>
      <c r="AL162" s="212"/>
      <c r="AM162" s="212"/>
      <c r="AN162" s="212"/>
      <c r="AO162" s="212"/>
      <c r="AP162" s="212"/>
      <c r="AQ162" s="212"/>
      <c r="AR162" s="212"/>
      <c r="AS162" s="212"/>
      <c r="AT162" s="212"/>
      <c r="AU162" s="212"/>
      <c r="AV162" s="212"/>
      <c r="AW162" s="212"/>
      <c r="AX162" s="212"/>
      <c r="AY162" s="212"/>
      <c r="AZ162" s="212"/>
      <c r="BA162" s="212"/>
    </row>
    <row r="163" spans="2:53" x14ac:dyDescent="0.25">
      <c r="B163" s="55"/>
      <c r="C163" s="56"/>
      <c r="D163" s="56"/>
      <c r="E163" s="42"/>
      <c r="F163" s="5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54"/>
      <c r="AB163" s="54"/>
      <c r="AC163" s="55"/>
      <c r="AD163" s="56"/>
      <c r="AE163" s="56"/>
      <c r="AF163" s="42"/>
      <c r="AG163" s="55"/>
      <c r="AH163" s="212"/>
      <c r="AI163" s="212"/>
      <c r="AJ163" s="212"/>
      <c r="AK163" s="212"/>
      <c r="AL163" s="212"/>
      <c r="AM163" s="212"/>
      <c r="AN163" s="212"/>
      <c r="AO163" s="212"/>
      <c r="AP163" s="212"/>
      <c r="AQ163" s="212"/>
      <c r="AR163" s="212"/>
      <c r="AS163" s="212"/>
      <c r="AT163" s="212"/>
      <c r="AU163" s="212"/>
      <c r="AV163" s="212"/>
      <c r="AW163" s="212"/>
      <c r="AX163" s="212"/>
      <c r="AY163" s="212"/>
      <c r="AZ163" s="212"/>
      <c r="BA163" s="212"/>
    </row>
    <row r="164" spans="2:53" x14ac:dyDescent="0.25">
      <c r="B164" s="55"/>
      <c r="C164" s="56"/>
      <c r="D164" s="56"/>
      <c r="E164" s="42"/>
      <c r="F164" s="5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54"/>
      <c r="AB164" s="54"/>
      <c r="AC164" s="55"/>
      <c r="AD164" s="56"/>
      <c r="AE164" s="56"/>
      <c r="AF164" s="42"/>
      <c r="AG164" s="55"/>
      <c r="AH164" s="212"/>
      <c r="AI164" s="212"/>
      <c r="AJ164" s="212"/>
      <c r="AK164" s="212"/>
      <c r="AL164" s="212"/>
      <c r="AM164" s="212"/>
      <c r="AN164" s="212"/>
      <c r="AO164" s="212"/>
      <c r="AP164" s="212"/>
      <c r="AQ164" s="212"/>
      <c r="AR164" s="212"/>
      <c r="AS164" s="212"/>
      <c r="AT164" s="212"/>
      <c r="AU164" s="212"/>
      <c r="AV164" s="212"/>
      <c r="AW164" s="212"/>
      <c r="AX164" s="212"/>
      <c r="AY164" s="212"/>
      <c r="AZ164" s="212"/>
      <c r="BA164" s="212"/>
    </row>
    <row r="165" spans="2:53" x14ac:dyDescent="0.25">
      <c r="B165" s="55"/>
      <c r="C165" s="56"/>
      <c r="D165" s="56"/>
      <c r="E165" s="41"/>
      <c r="F165" s="5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54"/>
      <c r="AB165" s="54"/>
      <c r="AC165" s="55"/>
      <c r="AD165" s="56"/>
      <c r="AE165" s="56"/>
      <c r="AF165" s="41"/>
      <c r="AG165" s="55"/>
      <c r="AH165" s="212"/>
      <c r="AI165" s="212"/>
      <c r="AJ165" s="212"/>
      <c r="AK165" s="212"/>
      <c r="AL165" s="212"/>
      <c r="AM165" s="212"/>
      <c r="AN165" s="212"/>
      <c r="AO165" s="212"/>
      <c r="AP165" s="212"/>
      <c r="AQ165" s="212"/>
      <c r="AR165" s="212"/>
      <c r="AS165" s="212"/>
      <c r="AT165" s="212"/>
      <c r="AU165" s="212"/>
      <c r="AV165" s="212"/>
      <c r="AW165" s="212"/>
      <c r="AX165" s="212"/>
      <c r="AY165" s="212"/>
      <c r="AZ165" s="212"/>
      <c r="BA165" s="212"/>
    </row>
    <row r="166" spans="2:53" x14ac:dyDescent="0.25">
      <c r="B166" s="55"/>
      <c r="C166" s="56"/>
      <c r="D166" s="56"/>
      <c r="E166" s="41"/>
      <c r="F166" s="5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54"/>
      <c r="AB166" s="54"/>
      <c r="AC166" s="55"/>
      <c r="AD166" s="56"/>
      <c r="AE166" s="56"/>
      <c r="AF166" s="41"/>
      <c r="AG166" s="55"/>
      <c r="AH166" s="212"/>
      <c r="AI166" s="212"/>
      <c r="AJ166" s="212"/>
      <c r="AK166" s="212"/>
      <c r="AL166" s="212"/>
      <c r="AM166" s="212"/>
      <c r="AN166" s="212"/>
      <c r="AO166" s="212"/>
      <c r="AP166" s="212"/>
      <c r="AQ166" s="212"/>
      <c r="AR166" s="212"/>
      <c r="AS166" s="212"/>
      <c r="AT166" s="212"/>
      <c r="AU166" s="212"/>
      <c r="AV166" s="212"/>
      <c r="AW166" s="212"/>
      <c r="AX166" s="212"/>
      <c r="AY166" s="212"/>
      <c r="AZ166" s="212"/>
      <c r="BA166" s="212"/>
    </row>
    <row r="167" spans="2:53" x14ac:dyDescent="0.25">
      <c r="B167" s="55"/>
      <c r="C167" s="56"/>
      <c r="D167" s="56"/>
      <c r="E167" s="41"/>
      <c r="F167" s="5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54"/>
      <c r="AB167" s="54"/>
      <c r="AC167" s="55"/>
      <c r="AD167" s="56"/>
      <c r="AE167" s="56"/>
      <c r="AF167" s="41"/>
      <c r="AG167" s="55"/>
      <c r="AH167" s="212"/>
      <c r="AI167" s="212"/>
      <c r="AJ167" s="212"/>
      <c r="AK167" s="212"/>
      <c r="AL167" s="212"/>
      <c r="AM167" s="212"/>
      <c r="AN167" s="212"/>
      <c r="AO167" s="212"/>
      <c r="AP167" s="212"/>
      <c r="AQ167" s="212"/>
      <c r="AR167" s="212"/>
      <c r="AS167" s="212"/>
      <c r="AT167" s="212"/>
      <c r="AU167" s="212"/>
      <c r="AV167" s="212"/>
      <c r="AW167" s="212"/>
      <c r="AX167" s="212"/>
      <c r="AY167" s="212"/>
      <c r="AZ167" s="212"/>
      <c r="BA167" s="212"/>
    </row>
    <row r="168" spans="2:53" x14ac:dyDescent="0.25">
      <c r="B168" s="55"/>
      <c r="C168" s="56"/>
      <c r="D168" s="56"/>
      <c r="E168" s="42"/>
      <c r="F168" s="5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54"/>
      <c r="AB168" s="54"/>
      <c r="AC168" s="55"/>
      <c r="AD168" s="56"/>
      <c r="AE168" s="56"/>
      <c r="AF168" s="42"/>
      <c r="AG168" s="55"/>
      <c r="AH168" s="212"/>
      <c r="AI168" s="212"/>
      <c r="AJ168" s="212"/>
      <c r="AK168" s="212"/>
      <c r="AL168" s="212"/>
      <c r="AM168" s="212"/>
      <c r="AN168" s="212"/>
      <c r="AO168" s="212"/>
      <c r="AP168" s="212"/>
      <c r="AQ168" s="212"/>
      <c r="AR168" s="212"/>
      <c r="AS168" s="212"/>
      <c r="AT168" s="212"/>
      <c r="AU168" s="212"/>
      <c r="AV168" s="212"/>
      <c r="AW168" s="212"/>
      <c r="AX168" s="212"/>
      <c r="AY168" s="212"/>
      <c r="AZ168" s="212"/>
      <c r="BA168" s="212"/>
    </row>
    <row r="169" spans="2:53" x14ac:dyDescent="0.25">
      <c r="B169" s="55"/>
      <c r="C169" s="56"/>
      <c r="D169" s="56"/>
      <c r="E169" s="42"/>
      <c r="F169" s="5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54"/>
      <c r="AB169" s="54"/>
      <c r="AC169" s="55"/>
      <c r="AD169" s="56"/>
      <c r="AE169" s="56"/>
      <c r="AF169" s="42"/>
      <c r="AG169" s="55"/>
      <c r="AH169" s="212"/>
      <c r="AI169" s="212"/>
      <c r="AJ169" s="212"/>
      <c r="AK169" s="212"/>
      <c r="AL169" s="212"/>
      <c r="AM169" s="212"/>
      <c r="AN169" s="212"/>
      <c r="AO169" s="212"/>
      <c r="AP169" s="212"/>
      <c r="AQ169" s="212"/>
      <c r="AR169" s="212"/>
      <c r="AS169" s="212"/>
      <c r="AT169" s="212"/>
      <c r="AU169" s="212"/>
      <c r="AV169" s="212"/>
      <c r="AW169" s="212"/>
      <c r="AX169" s="212"/>
      <c r="AY169" s="212"/>
      <c r="AZ169" s="212"/>
      <c r="BA169" s="212"/>
    </row>
    <row r="170" spans="2:53" x14ac:dyDescent="0.25">
      <c r="B170" s="55"/>
      <c r="C170" s="56"/>
      <c r="D170" s="56"/>
      <c r="E170" s="43"/>
      <c r="F170" s="5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54"/>
      <c r="AB170" s="54"/>
      <c r="AC170" s="55"/>
      <c r="AD170" s="56"/>
      <c r="AE170" s="56"/>
      <c r="AF170" s="43"/>
      <c r="AG170" s="55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</row>
    <row r="171" spans="2:53" x14ac:dyDescent="0.25">
      <c r="B171" s="55"/>
      <c r="C171" s="56"/>
      <c r="D171" s="56"/>
      <c r="E171" s="43"/>
      <c r="F171" s="5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54"/>
      <c r="AB171" s="54"/>
      <c r="AC171" s="55"/>
      <c r="AD171" s="56"/>
      <c r="AE171" s="56"/>
      <c r="AF171" s="43"/>
      <c r="AG171" s="55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</row>
    <row r="172" spans="2:53" x14ac:dyDescent="0.25">
      <c r="B172" s="55"/>
      <c r="C172" s="56"/>
      <c r="D172" s="56"/>
      <c r="E172" s="43"/>
      <c r="F172" s="5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54"/>
      <c r="AB172" s="54"/>
      <c r="AC172" s="55"/>
      <c r="AD172" s="56"/>
      <c r="AE172" s="56"/>
      <c r="AF172" s="43"/>
      <c r="AG172" s="55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</row>
    <row r="173" spans="2:53" x14ac:dyDescent="0.25">
      <c r="B173" s="55"/>
      <c r="C173" s="56"/>
      <c r="D173" s="56"/>
      <c r="E173" s="43"/>
      <c r="F173" s="5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54"/>
      <c r="AB173" s="54"/>
      <c r="AC173" s="55"/>
      <c r="AD173" s="56"/>
      <c r="AE173" s="56"/>
      <c r="AF173" s="43"/>
      <c r="AG173" s="55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</row>
    <row r="174" spans="2:53" x14ac:dyDescent="0.25">
      <c r="B174" s="55"/>
      <c r="C174" s="56"/>
      <c r="D174" s="56"/>
      <c r="E174" s="43"/>
      <c r="F174" s="5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54"/>
      <c r="AB174" s="54"/>
      <c r="AC174" s="55"/>
      <c r="AD174" s="56"/>
      <c r="AE174" s="56"/>
      <c r="AF174" s="43"/>
      <c r="AG174" s="55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</row>
    <row r="175" spans="2:53" x14ac:dyDescent="0.25">
      <c r="B175" s="55"/>
      <c r="C175" s="56"/>
      <c r="D175" s="56"/>
      <c r="E175" s="43"/>
      <c r="F175" s="5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54"/>
      <c r="AB175" s="54"/>
      <c r="AC175" s="55"/>
      <c r="AD175" s="56"/>
      <c r="AE175" s="56"/>
      <c r="AF175" s="43"/>
      <c r="AG175" s="55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</row>
    <row r="176" spans="2:53" x14ac:dyDescent="0.25">
      <c r="B176" s="55"/>
      <c r="C176" s="56"/>
      <c r="D176" s="56"/>
      <c r="E176" s="56"/>
      <c r="F176" s="56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54"/>
      <c r="AB176" s="54"/>
      <c r="AC176" s="55"/>
      <c r="AD176" s="56"/>
      <c r="AE176" s="56"/>
      <c r="AF176" s="56"/>
      <c r="AG176" s="56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</row>
    <row r="177" spans="2:53" x14ac:dyDescent="0.25">
      <c r="B177" s="55"/>
      <c r="C177" s="56"/>
      <c r="D177" s="56"/>
      <c r="E177" s="56"/>
      <c r="F177" s="56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54"/>
      <c r="AB177" s="54"/>
      <c r="AC177" s="55"/>
      <c r="AD177" s="56"/>
      <c r="AE177" s="56"/>
      <c r="AF177" s="56"/>
      <c r="AG177" s="56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  <c r="AZ177" s="48"/>
      <c r="BA177" s="48"/>
    </row>
    <row r="178" spans="2:53" x14ac:dyDescent="0.25">
      <c r="B178" s="55"/>
      <c r="C178" s="56"/>
      <c r="D178" s="56"/>
      <c r="E178" s="56"/>
      <c r="F178" s="56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8"/>
      <c r="X178" s="48"/>
      <c r="Y178" s="48"/>
      <c r="Z178" s="48"/>
      <c r="AA178" s="54"/>
      <c r="AB178" s="54"/>
      <c r="AC178" s="55"/>
      <c r="AD178" s="56"/>
      <c r="AE178" s="56"/>
      <c r="AF178" s="56"/>
      <c r="AG178" s="56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  <c r="AZ178" s="48"/>
      <c r="BA178" s="48"/>
    </row>
    <row r="179" spans="2:53" x14ac:dyDescent="0.25">
      <c r="B179" s="55"/>
      <c r="C179" s="56"/>
      <c r="D179" s="56"/>
      <c r="E179" s="56"/>
      <c r="F179" s="56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54"/>
      <c r="AB179" s="54"/>
      <c r="AC179" s="55"/>
      <c r="AD179" s="56"/>
      <c r="AE179" s="56"/>
      <c r="AF179" s="56"/>
      <c r="AG179" s="56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</row>
    <row r="180" spans="2:53" x14ac:dyDescent="0.25">
      <c r="B180" s="55"/>
      <c r="C180" s="56"/>
      <c r="D180" s="56"/>
      <c r="E180" s="56"/>
      <c r="F180" s="56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54"/>
      <c r="AB180" s="54"/>
      <c r="AC180" s="55"/>
      <c r="AD180" s="56"/>
      <c r="AE180" s="56"/>
      <c r="AF180" s="56"/>
      <c r="AG180" s="56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</row>
    <row r="181" spans="2:53" x14ac:dyDescent="0.25">
      <c r="B181" s="55"/>
      <c r="C181" s="56"/>
      <c r="D181" s="56"/>
      <c r="E181" s="56"/>
      <c r="F181" s="56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54"/>
      <c r="AB181" s="54"/>
      <c r="AC181" s="55"/>
      <c r="AD181" s="56"/>
      <c r="AE181" s="56"/>
      <c r="AF181" s="56"/>
      <c r="AG181" s="56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</row>
    <row r="182" spans="2:53" x14ac:dyDescent="0.25">
      <c r="B182" s="55"/>
      <c r="C182" s="56"/>
      <c r="D182" s="56"/>
      <c r="E182" s="56"/>
      <c r="F182" s="56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54"/>
      <c r="AB182" s="54"/>
      <c r="AC182" s="55"/>
      <c r="AD182" s="56"/>
      <c r="AE182" s="56"/>
      <c r="AF182" s="56"/>
      <c r="AG182" s="56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</row>
    <row r="183" spans="2:53" x14ac:dyDescent="0.25">
      <c r="B183" s="55"/>
      <c r="C183" s="56"/>
      <c r="D183" s="56"/>
      <c r="E183" s="56"/>
      <c r="F183" s="56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54"/>
      <c r="AB183" s="54"/>
      <c r="AC183" s="55"/>
      <c r="AD183" s="56"/>
      <c r="AE183" s="56"/>
      <c r="AF183" s="56"/>
      <c r="AG183" s="56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</row>
    <row r="184" spans="2:53" x14ac:dyDescent="0.25">
      <c r="B184" s="55"/>
      <c r="C184" s="56"/>
      <c r="D184" s="56"/>
      <c r="E184" s="56"/>
      <c r="F184" s="56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54"/>
      <c r="AB184" s="54"/>
      <c r="AC184" s="55"/>
      <c r="AD184" s="56"/>
      <c r="AE184" s="56"/>
      <c r="AF184" s="56"/>
      <c r="AG184" s="56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</row>
    <row r="185" spans="2:53" x14ac:dyDescent="0.25">
      <c r="B185" s="55"/>
      <c r="C185" s="56"/>
      <c r="D185" s="56"/>
      <c r="E185" s="56"/>
      <c r="F185" s="56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54"/>
      <c r="AB185" s="54"/>
      <c r="AC185" s="55"/>
      <c r="AD185" s="56"/>
      <c r="AE185" s="56"/>
      <c r="AF185" s="56"/>
      <c r="AG185" s="56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</row>
    <row r="186" spans="2:53" x14ac:dyDescent="0.25">
      <c r="B186" s="55"/>
      <c r="C186" s="56"/>
      <c r="D186" s="56"/>
      <c r="E186" s="56"/>
      <c r="F186" s="56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54"/>
      <c r="AB186" s="54"/>
      <c r="AC186" s="55"/>
      <c r="AD186" s="56"/>
      <c r="AE186" s="56"/>
      <c r="AF186" s="56"/>
      <c r="AG186" s="56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</row>
    <row r="187" spans="2:53" x14ac:dyDescent="0.25">
      <c r="B187" s="55"/>
      <c r="C187" s="56"/>
      <c r="D187" s="56"/>
      <c r="E187" s="56"/>
      <c r="F187" s="56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54"/>
      <c r="AB187" s="54"/>
      <c r="AC187" s="55"/>
      <c r="AD187" s="56"/>
      <c r="AE187" s="56"/>
      <c r="AF187" s="56"/>
      <c r="AG187" s="56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</row>
    <row r="188" spans="2:53" x14ac:dyDescent="0.25">
      <c r="B188" s="55"/>
      <c r="C188" s="56"/>
      <c r="D188" s="56"/>
      <c r="E188" s="56"/>
      <c r="F188" s="56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54"/>
      <c r="AB188" s="54"/>
      <c r="AC188" s="55"/>
      <c r="AD188" s="56"/>
      <c r="AE188" s="56"/>
      <c r="AF188" s="56"/>
      <c r="AG188" s="56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</row>
    <row r="189" spans="2:53" x14ac:dyDescent="0.25">
      <c r="B189" s="55"/>
      <c r="C189" s="56"/>
      <c r="D189" s="56"/>
      <c r="E189" s="56"/>
      <c r="F189" s="56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54"/>
      <c r="AB189" s="54"/>
      <c r="AC189" s="55"/>
      <c r="AD189" s="56"/>
      <c r="AE189" s="56"/>
      <c r="AF189" s="56"/>
      <c r="AG189" s="56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</row>
    <row r="190" spans="2:53" x14ac:dyDescent="0.25">
      <c r="B190" s="55"/>
      <c r="C190" s="56"/>
      <c r="D190" s="56"/>
      <c r="E190" s="56"/>
      <c r="F190" s="56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54"/>
      <c r="AB190" s="54"/>
      <c r="AC190" s="55"/>
      <c r="AD190" s="56"/>
      <c r="AE190" s="56"/>
      <c r="AF190" s="56"/>
      <c r="AG190" s="56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</row>
    <row r="191" spans="2:53" x14ac:dyDescent="0.25">
      <c r="B191" s="55"/>
      <c r="C191" s="56"/>
      <c r="D191" s="56"/>
      <c r="E191" s="56"/>
      <c r="F191" s="56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54"/>
      <c r="AB191" s="54"/>
      <c r="AC191" s="55"/>
      <c r="AD191" s="56"/>
      <c r="AE191" s="56"/>
      <c r="AF191" s="56"/>
      <c r="AG191" s="56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</row>
    <row r="192" spans="2:53" x14ac:dyDescent="0.25">
      <c r="B192" s="55"/>
      <c r="C192" s="56"/>
      <c r="D192" s="56"/>
      <c r="E192" s="56"/>
      <c r="F192" s="56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54"/>
      <c r="AB192" s="54"/>
      <c r="AC192" s="55"/>
      <c r="AD192" s="56"/>
      <c r="AE192" s="56"/>
      <c r="AF192" s="56"/>
      <c r="AG192" s="56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</row>
    <row r="193" spans="2:53" x14ac:dyDescent="0.25">
      <c r="B193" s="55"/>
      <c r="C193" s="56"/>
      <c r="D193" s="56"/>
      <c r="E193" s="56"/>
      <c r="F193" s="56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54"/>
      <c r="AB193" s="54"/>
      <c r="AC193" s="55"/>
      <c r="AD193" s="56"/>
      <c r="AE193" s="56"/>
      <c r="AF193" s="56"/>
      <c r="AG193" s="56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  <c r="AZ193" s="48"/>
      <c r="BA193" s="48"/>
    </row>
    <row r="194" spans="2:53" x14ac:dyDescent="0.25">
      <c r="B194" s="55"/>
      <c r="C194" s="56"/>
      <c r="D194" s="56"/>
      <c r="E194" s="56"/>
      <c r="F194" s="56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54"/>
      <c r="AB194" s="54"/>
      <c r="AC194" s="55"/>
      <c r="AD194" s="56"/>
      <c r="AE194" s="56"/>
      <c r="AF194" s="56"/>
      <c r="AG194" s="56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</row>
    <row r="195" spans="2:53" x14ac:dyDescent="0.25">
      <c r="B195" s="55"/>
      <c r="C195" s="56"/>
      <c r="D195" s="56"/>
      <c r="E195" s="56"/>
      <c r="F195" s="56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54"/>
      <c r="AB195" s="54"/>
      <c r="AC195" s="55"/>
      <c r="AD195" s="56"/>
      <c r="AE195" s="56"/>
      <c r="AF195" s="56"/>
      <c r="AG195" s="56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7"/>
      <c r="BA195" s="47"/>
    </row>
    <row r="196" spans="2:53" x14ac:dyDescent="0.25">
      <c r="B196" s="55"/>
      <c r="C196" s="56"/>
      <c r="D196" s="56"/>
      <c r="E196" s="56"/>
      <c r="F196" s="56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54"/>
      <c r="AB196" s="54"/>
      <c r="AC196" s="55"/>
      <c r="AD196" s="56"/>
      <c r="AE196" s="56"/>
      <c r="AF196" s="56"/>
      <c r="AG196" s="56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7"/>
      <c r="BA196" s="47"/>
    </row>
    <row r="197" spans="2:53" x14ac:dyDescent="0.25">
      <c r="B197" s="55"/>
      <c r="C197" s="56"/>
      <c r="D197" s="56"/>
      <c r="E197" s="56"/>
      <c r="F197" s="56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54"/>
      <c r="AB197" s="54"/>
      <c r="AC197" s="55"/>
      <c r="AD197" s="56"/>
      <c r="AE197" s="56"/>
      <c r="AF197" s="56"/>
      <c r="AG197" s="56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</row>
    <row r="198" spans="2:53" x14ac:dyDescent="0.25">
      <c r="B198" s="55"/>
      <c r="C198" s="56"/>
      <c r="D198" s="56"/>
      <c r="E198" s="56"/>
      <c r="F198" s="56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54"/>
      <c r="AB198" s="54"/>
      <c r="AC198" s="55"/>
      <c r="AD198" s="56"/>
      <c r="AE198" s="56"/>
      <c r="AF198" s="56"/>
      <c r="AG198" s="56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</row>
    <row r="199" spans="2:53" x14ac:dyDescent="0.25">
      <c r="B199" s="55"/>
      <c r="C199" s="56"/>
      <c r="D199" s="56"/>
      <c r="E199" s="56"/>
      <c r="F199" s="56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54"/>
      <c r="AB199" s="54"/>
      <c r="AC199" s="55"/>
      <c r="AD199" s="56"/>
      <c r="AE199" s="56"/>
      <c r="AF199" s="56"/>
      <c r="AG199" s="56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</row>
    <row r="200" spans="2:53" x14ac:dyDescent="0.25">
      <c r="B200" s="55"/>
      <c r="C200" s="56"/>
      <c r="D200" s="56"/>
      <c r="E200" s="56"/>
      <c r="F200" s="56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54"/>
      <c r="AB200" s="54"/>
      <c r="AC200" s="55"/>
      <c r="AD200" s="56"/>
      <c r="AE200" s="56"/>
      <c r="AF200" s="56"/>
      <c r="AG200" s="56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</row>
    <row r="201" spans="2:53" x14ac:dyDescent="0.25">
      <c r="B201" s="55"/>
      <c r="C201" s="56"/>
      <c r="D201" s="56"/>
      <c r="E201" s="56"/>
      <c r="F201" s="56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54"/>
      <c r="AB201" s="54"/>
      <c r="AC201" s="55"/>
      <c r="AD201" s="56"/>
      <c r="AE201" s="56"/>
      <c r="AF201" s="56"/>
      <c r="AG201" s="56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</row>
    <row r="202" spans="2:53" x14ac:dyDescent="0.25">
      <c r="B202" s="55"/>
      <c r="C202" s="56"/>
      <c r="D202" s="56"/>
      <c r="E202" s="56"/>
      <c r="F202" s="56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54"/>
      <c r="AB202" s="54"/>
      <c r="AC202" s="55"/>
      <c r="AD202" s="56"/>
      <c r="AE202" s="56"/>
      <c r="AF202" s="56"/>
      <c r="AG202" s="56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</row>
    <row r="203" spans="2:53" x14ac:dyDescent="0.25">
      <c r="B203" s="55"/>
      <c r="C203" s="56"/>
      <c r="D203" s="56"/>
      <c r="E203" s="56"/>
      <c r="F203" s="56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54"/>
      <c r="AB203" s="54"/>
      <c r="AC203" s="55"/>
      <c r="AD203" s="56"/>
      <c r="AE203" s="56"/>
      <c r="AF203" s="56"/>
      <c r="AG203" s="56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</row>
    <row r="204" spans="2:53" x14ac:dyDescent="0.25">
      <c r="B204" s="55"/>
      <c r="C204" s="56"/>
      <c r="D204" s="56"/>
      <c r="E204" s="56"/>
      <c r="F204" s="56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54"/>
      <c r="AB204" s="54"/>
      <c r="AC204" s="55"/>
      <c r="AD204" s="56"/>
      <c r="AE204" s="56"/>
      <c r="AF204" s="56"/>
      <c r="AG204" s="56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</row>
    <row r="205" spans="2:53" x14ac:dyDescent="0.25">
      <c r="B205" s="55"/>
      <c r="C205" s="56"/>
      <c r="D205" s="56"/>
      <c r="E205" s="56"/>
      <c r="F205" s="56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4"/>
      <c r="AB205" s="54"/>
      <c r="AC205" s="55"/>
      <c r="AD205" s="56"/>
      <c r="AE205" s="56"/>
      <c r="AF205" s="56"/>
      <c r="AG205" s="56"/>
      <c r="AH205" s="49"/>
      <c r="AI205" s="51"/>
      <c r="AJ205" s="51"/>
      <c r="AK205" s="51"/>
      <c r="AL205" s="51"/>
      <c r="AM205" s="51"/>
      <c r="AN205" s="50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</row>
    <row r="206" spans="2:53" x14ac:dyDescent="0.25">
      <c r="B206" s="55"/>
      <c r="C206" s="56"/>
      <c r="D206" s="56"/>
      <c r="E206" s="56"/>
      <c r="F206" s="56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4"/>
      <c r="AB206" s="54"/>
      <c r="AC206" s="55"/>
      <c r="AD206" s="56"/>
      <c r="AE206" s="56"/>
      <c r="AF206" s="56"/>
      <c r="AG206" s="56"/>
      <c r="AH206" s="49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</row>
    <row r="207" spans="2:53" x14ac:dyDescent="0.25">
      <c r="B207" s="55"/>
      <c r="C207" s="56"/>
      <c r="D207" s="56"/>
      <c r="E207" s="56"/>
      <c r="F207" s="56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4"/>
      <c r="AB207" s="54"/>
      <c r="AC207" s="55"/>
      <c r="AD207" s="56"/>
      <c r="AE207" s="56"/>
      <c r="AF207" s="56"/>
      <c r="AG207" s="56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</row>
    <row r="208" spans="2:53" x14ac:dyDescent="0.25">
      <c r="B208" s="55"/>
      <c r="C208" s="56"/>
      <c r="D208" s="56"/>
      <c r="E208" s="56"/>
      <c r="F208" s="56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4"/>
      <c r="AB208" s="54"/>
      <c r="AC208" s="55"/>
      <c r="AD208" s="56"/>
      <c r="AE208" s="56"/>
      <c r="AF208" s="56"/>
      <c r="AG208" s="56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</row>
    <row r="209" spans="2:53" x14ac:dyDescent="0.25">
      <c r="B209" s="55"/>
      <c r="C209" s="56"/>
      <c r="D209" s="56"/>
      <c r="E209" s="56"/>
      <c r="F209" s="56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4"/>
      <c r="AB209" s="54"/>
      <c r="AC209" s="55"/>
      <c r="AD209" s="56"/>
      <c r="AE209" s="56"/>
      <c r="AF209" s="56"/>
      <c r="AG209" s="56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</row>
    <row r="210" spans="2:53" x14ac:dyDescent="0.25">
      <c r="B210" s="55"/>
      <c r="C210" s="56"/>
      <c r="D210" s="56"/>
      <c r="E210" s="56"/>
      <c r="F210" s="56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4"/>
      <c r="AB210" s="54"/>
      <c r="AC210" s="55"/>
      <c r="AD210" s="56"/>
      <c r="AE210" s="56"/>
      <c r="AF210" s="56"/>
      <c r="AG210" s="56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</row>
    <row r="211" spans="2:53" x14ac:dyDescent="0.25">
      <c r="B211" s="55"/>
      <c r="C211" s="56"/>
      <c r="D211" s="56"/>
      <c r="E211" s="56"/>
      <c r="F211" s="56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4"/>
      <c r="AB211" s="54"/>
      <c r="AC211" s="55"/>
      <c r="AD211" s="56"/>
      <c r="AE211" s="56"/>
      <c r="AF211" s="56"/>
      <c r="AG211" s="56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</row>
    <row r="212" spans="2:53" x14ac:dyDescent="0.25">
      <c r="B212" s="55"/>
      <c r="C212" s="56"/>
      <c r="D212" s="56"/>
      <c r="E212" s="56"/>
      <c r="F212" s="56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4"/>
      <c r="AB212" s="54"/>
      <c r="AC212" s="55"/>
      <c r="AD212" s="56"/>
      <c r="AE212" s="56"/>
      <c r="AF212" s="56"/>
      <c r="AG212" s="56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</row>
    <row r="213" spans="2:53" x14ac:dyDescent="0.25">
      <c r="B213" s="55"/>
      <c r="C213" s="56"/>
      <c r="D213" s="56"/>
      <c r="E213" s="56"/>
      <c r="F213" s="56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4"/>
      <c r="AB213" s="54"/>
      <c r="AC213" s="55"/>
      <c r="AD213" s="56"/>
      <c r="AE213" s="56"/>
      <c r="AF213" s="56"/>
      <c r="AG213" s="56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</row>
    <row r="214" spans="2:53" x14ac:dyDescent="0.25">
      <c r="B214" s="55"/>
      <c r="C214" s="56"/>
      <c r="D214" s="56"/>
      <c r="E214" s="56"/>
      <c r="F214" s="56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4"/>
      <c r="AB214" s="54"/>
      <c r="AC214" s="55"/>
      <c r="AD214" s="56"/>
      <c r="AE214" s="56"/>
      <c r="AF214" s="56"/>
      <c r="AG214" s="56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</row>
    <row r="215" spans="2:53" x14ac:dyDescent="0.25">
      <c r="B215" s="55"/>
      <c r="C215" s="56"/>
      <c r="D215" s="56"/>
      <c r="E215" s="56"/>
      <c r="F215" s="56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4"/>
      <c r="AB215" s="54"/>
      <c r="AC215" s="55"/>
      <c r="AD215" s="56"/>
      <c r="AE215" s="56"/>
      <c r="AF215" s="56"/>
      <c r="AG215" s="56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</row>
    <row r="216" spans="2:53" x14ac:dyDescent="0.25">
      <c r="B216" s="55"/>
      <c r="C216" s="56"/>
      <c r="D216" s="56"/>
      <c r="E216" s="56"/>
      <c r="F216" s="56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4"/>
      <c r="AB216" s="54"/>
      <c r="AC216" s="55"/>
      <c r="AD216" s="56"/>
      <c r="AE216" s="56"/>
      <c r="AF216" s="56"/>
      <c r="AG216" s="56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</row>
    <row r="217" spans="2:53" x14ac:dyDescent="0.25">
      <c r="B217" s="55"/>
      <c r="C217" s="56"/>
      <c r="D217" s="56"/>
      <c r="E217" s="56"/>
      <c r="F217" s="56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4"/>
      <c r="AB217" s="54"/>
      <c r="AC217" s="55"/>
      <c r="AD217" s="56"/>
      <c r="AE217" s="56"/>
      <c r="AF217" s="56"/>
      <c r="AG217" s="56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</row>
    <row r="218" spans="2:53" x14ac:dyDescent="0.25">
      <c r="B218" s="55"/>
      <c r="C218" s="56"/>
      <c r="D218" s="56"/>
      <c r="E218" s="56"/>
      <c r="F218" s="56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4"/>
      <c r="AB218" s="54"/>
      <c r="AC218" s="55"/>
      <c r="AD218" s="56"/>
      <c r="AE218" s="56"/>
      <c r="AF218" s="56"/>
      <c r="AG218" s="56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</row>
    <row r="219" spans="2:53" x14ac:dyDescent="0.25">
      <c r="B219" s="55"/>
      <c r="C219" s="56"/>
      <c r="D219" s="56"/>
      <c r="E219" s="56"/>
      <c r="F219" s="56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4"/>
      <c r="AB219" s="54"/>
      <c r="AC219" s="55"/>
      <c r="AD219" s="56"/>
      <c r="AE219" s="56"/>
      <c r="AF219" s="56"/>
      <c r="AG219" s="56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</row>
    <row r="220" spans="2:53" x14ac:dyDescent="0.25">
      <c r="B220" s="55"/>
      <c r="C220" s="56"/>
      <c r="D220" s="56"/>
      <c r="E220" s="56"/>
      <c r="F220" s="56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4"/>
      <c r="AB220" s="54"/>
      <c r="AC220" s="55"/>
      <c r="AD220" s="56"/>
      <c r="AE220" s="56"/>
      <c r="AF220" s="56"/>
      <c r="AG220" s="56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</row>
    <row r="221" spans="2:53" x14ac:dyDescent="0.25">
      <c r="B221" s="55"/>
      <c r="C221" s="56"/>
      <c r="D221" s="56"/>
      <c r="E221" s="56"/>
      <c r="F221" s="56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4"/>
      <c r="AB221" s="54"/>
      <c r="AC221" s="55"/>
      <c r="AD221" s="56"/>
      <c r="AE221" s="56"/>
      <c r="AF221" s="56"/>
      <c r="AG221" s="56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</row>
    <row r="222" spans="2:53" x14ac:dyDescent="0.25">
      <c r="B222" s="55"/>
      <c r="C222" s="56"/>
      <c r="D222" s="56"/>
      <c r="E222" s="56"/>
      <c r="F222" s="56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4"/>
      <c r="AB222" s="54"/>
      <c r="AC222" s="55"/>
      <c r="AD222" s="56"/>
      <c r="AE222" s="56"/>
      <c r="AF222" s="56"/>
      <c r="AG222" s="56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</row>
    <row r="223" spans="2:53" x14ac:dyDescent="0.25">
      <c r="B223" s="55"/>
      <c r="C223" s="56"/>
      <c r="D223" s="56"/>
      <c r="E223" s="56"/>
      <c r="F223" s="56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4"/>
      <c r="AB223" s="54"/>
      <c r="AC223" s="55"/>
      <c r="AD223" s="56"/>
      <c r="AE223" s="56"/>
      <c r="AF223" s="56"/>
      <c r="AG223" s="56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</row>
    <row r="224" spans="2:53" x14ac:dyDescent="0.25">
      <c r="B224" s="55"/>
      <c r="C224" s="56"/>
      <c r="D224" s="56"/>
      <c r="E224" s="56"/>
      <c r="F224" s="56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4"/>
      <c r="AB224" s="54"/>
      <c r="AC224" s="55"/>
      <c r="AD224" s="56"/>
      <c r="AE224" s="56"/>
      <c r="AF224" s="56"/>
      <c r="AG224" s="56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</row>
    <row r="225" spans="2:53" x14ac:dyDescent="0.25">
      <c r="B225" s="55"/>
      <c r="C225" s="56"/>
      <c r="D225" s="56"/>
      <c r="E225" s="56"/>
      <c r="F225" s="56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4"/>
      <c r="AB225" s="54"/>
      <c r="AC225" s="55"/>
      <c r="AD225" s="56"/>
      <c r="AE225" s="56"/>
      <c r="AF225" s="56"/>
      <c r="AG225" s="56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</row>
    <row r="226" spans="2:53" x14ac:dyDescent="0.25">
      <c r="B226" s="55"/>
      <c r="C226" s="56"/>
      <c r="D226" s="56"/>
      <c r="E226" s="56"/>
      <c r="F226" s="56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4"/>
      <c r="AB226" s="54"/>
      <c r="AC226" s="55"/>
      <c r="AD226" s="56"/>
      <c r="AE226" s="56"/>
      <c r="AF226" s="56"/>
      <c r="AG226" s="56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</row>
    <row r="227" spans="2:53" x14ac:dyDescent="0.25">
      <c r="B227" s="55"/>
      <c r="C227" s="56"/>
      <c r="D227" s="56"/>
      <c r="E227" s="56"/>
      <c r="F227" s="56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4"/>
      <c r="AB227" s="54"/>
      <c r="AC227" s="55"/>
      <c r="AD227" s="56"/>
      <c r="AE227" s="56"/>
      <c r="AF227" s="56"/>
      <c r="AG227" s="56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</row>
    <row r="228" spans="2:53" x14ac:dyDescent="0.25">
      <c r="B228" s="55"/>
      <c r="C228" s="56"/>
      <c r="D228" s="56"/>
      <c r="E228" s="56"/>
      <c r="F228" s="56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4"/>
      <c r="AB228" s="54"/>
      <c r="AC228" s="55"/>
      <c r="AD228" s="56"/>
      <c r="AE228" s="56"/>
      <c r="AF228" s="56"/>
      <c r="AG228" s="56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</row>
    <row r="229" spans="2:53" x14ac:dyDescent="0.25">
      <c r="B229" s="55"/>
      <c r="C229" s="56"/>
      <c r="D229" s="56"/>
      <c r="E229" s="56"/>
      <c r="F229" s="56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4"/>
      <c r="AB229" s="54"/>
      <c r="AC229" s="55"/>
      <c r="AD229" s="56"/>
      <c r="AE229" s="56"/>
      <c r="AF229" s="56"/>
      <c r="AG229" s="56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</row>
    <row r="230" spans="2:53" x14ac:dyDescent="0.25">
      <c r="B230" s="55"/>
      <c r="C230" s="56"/>
      <c r="D230" s="56"/>
      <c r="E230" s="56"/>
      <c r="F230" s="56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4"/>
      <c r="AB230" s="54"/>
      <c r="AC230" s="55"/>
      <c r="AD230" s="56"/>
      <c r="AE230" s="56"/>
      <c r="AF230" s="56"/>
      <c r="AG230" s="56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</row>
    <row r="231" spans="2:53" x14ac:dyDescent="0.25">
      <c r="B231" s="55"/>
      <c r="C231" s="56"/>
      <c r="D231" s="56"/>
      <c r="E231" s="56"/>
      <c r="F231" s="56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4"/>
      <c r="AB231" s="54"/>
      <c r="AC231" s="55"/>
      <c r="AD231" s="56"/>
      <c r="AE231" s="56"/>
      <c r="AF231" s="56"/>
      <c r="AG231" s="56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</row>
    <row r="232" spans="2:53" x14ac:dyDescent="0.25">
      <c r="B232" s="55"/>
      <c r="C232" s="56"/>
      <c r="D232" s="56"/>
      <c r="E232" s="56"/>
      <c r="F232" s="56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4"/>
      <c r="AB232" s="54"/>
      <c r="AC232" s="55"/>
      <c r="AD232" s="56"/>
      <c r="AE232" s="56"/>
      <c r="AF232" s="56"/>
      <c r="AG232" s="56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</row>
    <row r="233" spans="2:53" x14ac:dyDescent="0.25">
      <c r="B233" s="55"/>
      <c r="C233" s="56"/>
      <c r="D233" s="56"/>
      <c r="E233" s="56"/>
      <c r="F233" s="56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4"/>
      <c r="AB233" s="54"/>
      <c r="AC233" s="55"/>
      <c r="AD233" s="56"/>
      <c r="AE233" s="56"/>
      <c r="AF233" s="56"/>
      <c r="AG233" s="56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</row>
    <row r="234" spans="2:53" x14ac:dyDescent="0.25">
      <c r="B234" s="55"/>
      <c r="C234" s="56"/>
      <c r="D234" s="56"/>
      <c r="E234" s="56"/>
      <c r="F234" s="56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4"/>
      <c r="AB234" s="54"/>
      <c r="AC234" s="55"/>
      <c r="AD234" s="56"/>
      <c r="AE234" s="56"/>
      <c r="AF234" s="56"/>
      <c r="AG234" s="56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</row>
    <row r="235" spans="2:53" x14ac:dyDescent="0.25">
      <c r="B235" s="55"/>
      <c r="C235" s="56"/>
      <c r="D235" s="56"/>
      <c r="E235" s="56"/>
      <c r="F235" s="56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4"/>
      <c r="AB235" s="54"/>
      <c r="AC235" s="55"/>
      <c r="AD235" s="56"/>
      <c r="AE235" s="56"/>
      <c r="AF235" s="56"/>
      <c r="AG235" s="56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/>
    </row>
    <row r="236" spans="2:53" x14ac:dyDescent="0.25">
      <c r="B236" s="55"/>
      <c r="C236" s="56"/>
      <c r="D236" s="56"/>
      <c r="E236" s="56"/>
      <c r="F236" s="56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4"/>
      <c r="AB236" s="54"/>
      <c r="AC236" s="55"/>
      <c r="AD236" s="56"/>
      <c r="AE236" s="56"/>
      <c r="AF236" s="56"/>
      <c r="AG236" s="56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2:53" x14ac:dyDescent="0.25">
      <c r="B237" s="55"/>
      <c r="C237" s="56"/>
      <c r="D237" s="56"/>
      <c r="E237" s="56"/>
      <c r="F237" s="56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4"/>
      <c r="AB237" s="54"/>
      <c r="AC237" s="55"/>
      <c r="AD237" s="56"/>
      <c r="AE237" s="56"/>
      <c r="AF237" s="56"/>
      <c r="AG237" s="56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2:53" x14ac:dyDescent="0.25">
      <c r="B238" s="55"/>
      <c r="C238" s="56"/>
      <c r="D238" s="56"/>
      <c r="E238" s="56"/>
      <c r="F238" s="56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4"/>
      <c r="AB238" s="54"/>
      <c r="AC238" s="55"/>
      <c r="AD238" s="56"/>
      <c r="AE238" s="56"/>
      <c r="AF238" s="56"/>
      <c r="AG238" s="56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2:53" x14ac:dyDescent="0.25">
      <c r="B239" s="55"/>
      <c r="C239" s="56"/>
      <c r="D239" s="56"/>
      <c r="E239" s="56"/>
      <c r="F239" s="56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4"/>
      <c r="AB239" s="54"/>
      <c r="AC239" s="55"/>
      <c r="AD239" s="56"/>
      <c r="AE239" s="56"/>
      <c r="AF239" s="56"/>
      <c r="AG239" s="56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2:53" x14ac:dyDescent="0.25">
      <c r="B240" s="55"/>
      <c r="C240" s="56"/>
      <c r="D240" s="56"/>
      <c r="E240" s="56"/>
      <c r="F240" s="56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4"/>
      <c r="AB240" s="54"/>
      <c r="AC240" s="55"/>
      <c r="AD240" s="56"/>
      <c r="AE240" s="56"/>
      <c r="AF240" s="56"/>
      <c r="AG240" s="56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2:53" x14ac:dyDescent="0.25">
      <c r="B241" s="55"/>
      <c r="C241" s="56"/>
      <c r="D241" s="56"/>
      <c r="E241" s="56"/>
      <c r="F241" s="56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4"/>
      <c r="AB241" s="54"/>
      <c r="AC241" s="55"/>
      <c r="AD241" s="56"/>
      <c r="AE241" s="56"/>
      <c r="AF241" s="56"/>
      <c r="AG241" s="56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2:53" x14ac:dyDescent="0.25">
      <c r="B242" s="55"/>
      <c r="C242" s="56"/>
      <c r="D242" s="56"/>
      <c r="E242" s="56"/>
      <c r="F242" s="56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4"/>
      <c r="AB242" s="54"/>
      <c r="AC242" s="55"/>
      <c r="AD242" s="56"/>
      <c r="AE242" s="56"/>
      <c r="AF242" s="56"/>
      <c r="AG242" s="56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2:53" x14ac:dyDescent="0.25">
      <c r="B243" s="55"/>
      <c r="C243" s="56"/>
      <c r="D243" s="56"/>
      <c r="E243" s="56"/>
      <c r="F243" s="56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4"/>
      <c r="AB243" s="54"/>
      <c r="AC243" s="55"/>
      <c r="AD243" s="56"/>
      <c r="AE243" s="56"/>
      <c r="AF243" s="56"/>
      <c r="AG243" s="56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2:53" x14ac:dyDescent="0.25">
      <c r="B244" s="55"/>
      <c r="C244" s="56"/>
      <c r="D244" s="56"/>
      <c r="E244" s="56"/>
      <c r="F244" s="56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4"/>
      <c r="AB244" s="54"/>
      <c r="AC244" s="55"/>
      <c r="AD244" s="56"/>
      <c r="AE244" s="56"/>
      <c r="AF244" s="56"/>
      <c r="AG244" s="56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2:53" x14ac:dyDescent="0.25">
      <c r="B245" s="55"/>
      <c r="C245" s="56"/>
      <c r="D245" s="56"/>
      <c r="E245" s="56"/>
      <c r="F245" s="56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4"/>
      <c r="AB245" s="54"/>
      <c r="AC245" s="55"/>
      <c r="AD245" s="56"/>
      <c r="AE245" s="56"/>
      <c r="AF245" s="56"/>
      <c r="AG245" s="56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2:53" x14ac:dyDescent="0.25">
      <c r="B246" s="55"/>
      <c r="C246" s="56"/>
      <c r="D246" s="56"/>
      <c r="E246" s="56"/>
      <c r="F246" s="56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4"/>
      <c r="AB246" s="54"/>
      <c r="AC246" s="55"/>
      <c r="AD246" s="56"/>
      <c r="AE246" s="56"/>
      <c r="AF246" s="56"/>
      <c r="AG246" s="56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2:53" x14ac:dyDescent="0.25">
      <c r="B247" s="55"/>
      <c r="C247" s="56"/>
      <c r="D247" s="56"/>
      <c r="E247" s="56"/>
      <c r="F247" s="56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4"/>
      <c r="AB247" s="54"/>
      <c r="AC247" s="55"/>
      <c r="AD247" s="56"/>
      <c r="AE247" s="56"/>
      <c r="AF247" s="56"/>
      <c r="AG247" s="56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2:53" x14ac:dyDescent="0.25">
      <c r="B248" s="55"/>
      <c r="C248" s="56"/>
      <c r="D248" s="56"/>
      <c r="E248" s="56"/>
      <c r="F248" s="56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4"/>
      <c r="AB248" s="54"/>
      <c r="AC248" s="55"/>
      <c r="AD248" s="56"/>
      <c r="AE248" s="56"/>
      <c r="AF248" s="56"/>
      <c r="AG248" s="56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2:53" x14ac:dyDescent="0.25">
      <c r="B249" s="55"/>
      <c r="C249" s="56"/>
      <c r="D249" s="56"/>
      <c r="E249" s="56"/>
      <c r="F249" s="56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4"/>
      <c r="AB249" s="54"/>
      <c r="AC249" s="55"/>
      <c r="AD249" s="56"/>
      <c r="AE249" s="56"/>
      <c r="AF249" s="56"/>
      <c r="AG249" s="56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2:53" x14ac:dyDescent="0.25">
      <c r="B250" s="55"/>
      <c r="C250" s="56"/>
      <c r="D250" s="56"/>
      <c r="E250" s="56"/>
      <c r="F250" s="56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4"/>
      <c r="AB250" s="54"/>
      <c r="AC250" s="55"/>
      <c r="AD250" s="56"/>
      <c r="AE250" s="56"/>
      <c r="AF250" s="56"/>
      <c r="AG250" s="56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2:53" x14ac:dyDescent="0.25">
      <c r="B251" s="55"/>
      <c r="C251" s="56"/>
      <c r="D251" s="56"/>
      <c r="E251" s="56"/>
      <c r="F251" s="56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4"/>
      <c r="AB251" s="54"/>
      <c r="AC251" s="55"/>
      <c r="AD251" s="56"/>
      <c r="AE251" s="56"/>
      <c r="AF251" s="56"/>
      <c r="AG251" s="56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2:53" x14ac:dyDescent="0.25">
      <c r="B252" s="55"/>
      <c r="C252" s="56"/>
      <c r="D252" s="56"/>
      <c r="E252" s="56"/>
      <c r="F252" s="56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4"/>
      <c r="AB252" s="54"/>
      <c r="AC252" s="55"/>
      <c r="AD252" s="56"/>
      <c r="AE252" s="56"/>
      <c r="AF252" s="56"/>
      <c r="AG252" s="56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2:53" x14ac:dyDescent="0.25">
      <c r="B253" s="55"/>
      <c r="C253" s="56"/>
      <c r="D253" s="56"/>
      <c r="E253" s="56"/>
      <c r="F253" s="56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4"/>
      <c r="AB253" s="54"/>
      <c r="AC253" s="55"/>
      <c r="AD253" s="56"/>
      <c r="AE253" s="56"/>
      <c r="AF253" s="56"/>
      <c r="AG253" s="56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2:53" x14ac:dyDescent="0.25">
      <c r="B254" s="55"/>
      <c r="C254" s="56"/>
      <c r="D254" s="56"/>
      <c r="E254" s="56"/>
      <c r="F254" s="56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4"/>
      <c r="AB254" s="54"/>
      <c r="AC254" s="55"/>
      <c r="AD254" s="56"/>
      <c r="AE254" s="56"/>
      <c r="AF254" s="56"/>
      <c r="AG254" s="56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2:53" x14ac:dyDescent="0.25">
      <c r="B255" s="55"/>
      <c r="C255" s="56"/>
      <c r="D255" s="56"/>
      <c r="E255" s="56"/>
      <c r="F255" s="56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4"/>
      <c r="AB255" s="54"/>
      <c r="AC255" s="55"/>
      <c r="AD255" s="56"/>
      <c r="AE255" s="56"/>
      <c r="AF255" s="56"/>
      <c r="AG255" s="56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2:53" x14ac:dyDescent="0.25">
      <c r="B256" s="55"/>
      <c r="C256" s="56"/>
      <c r="D256" s="56"/>
      <c r="E256" s="56"/>
      <c r="F256" s="56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4"/>
      <c r="AB256" s="54"/>
      <c r="AC256" s="55"/>
      <c r="AD256" s="56"/>
      <c r="AE256" s="56"/>
      <c r="AF256" s="56"/>
      <c r="AG256" s="56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2:53" x14ac:dyDescent="0.25">
      <c r="B257" s="55"/>
      <c r="C257" s="56"/>
      <c r="D257" s="56"/>
      <c r="E257" s="56"/>
      <c r="F257" s="56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4"/>
      <c r="AB257" s="54"/>
      <c r="AC257" s="55"/>
      <c r="AD257" s="56"/>
      <c r="AE257" s="56"/>
      <c r="AF257" s="56"/>
      <c r="AG257" s="56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2:53" x14ac:dyDescent="0.25">
      <c r="B258" s="55"/>
      <c r="C258" s="56"/>
      <c r="D258" s="56"/>
      <c r="E258" s="56"/>
      <c r="F258" s="56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4"/>
      <c r="AB258" s="54"/>
      <c r="AC258" s="55"/>
      <c r="AD258" s="56"/>
      <c r="AE258" s="56"/>
      <c r="AF258" s="56"/>
      <c r="AG258" s="56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2:53" x14ac:dyDescent="0.25">
      <c r="B259" s="55"/>
      <c r="C259" s="56"/>
      <c r="D259" s="56"/>
      <c r="E259" s="56"/>
      <c r="F259" s="56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4"/>
      <c r="AB259" s="54"/>
      <c r="AC259" s="55"/>
      <c r="AD259" s="56"/>
      <c r="AE259" s="56"/>
      <c r="AF259" s="56"/>
      <c r="AG259" s="56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2:53" x14ac:dyDescent="0.25">
      <c r="B260" s="55"/>
      <c r="C260" s="56"/>
      <c r="D260" s="56"/>
      <c r="E260" s="56"/>
      <c r="F260" s="56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4"/>
      <c r="AB260" s="54"/>
      <c r="AC260" s="55"/>
      <c r="AD260" s="56"/>
      <c r="AE260" s="56"/>
      <c r="AF260" s="56"/>
      <c r="AG260" s="56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2:53" x14ac:dyDescent="0.25">
      <c r="B261" s="55"/>
      <c r="C261" s="56"/>
      <c r="D261" s="56"/>
      <c r="E261" s="56"/>
      <c r="F261" s="56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4"/>
      <c r="AB261" s="54"/>
      <c r="AC261" s="55"/>
      <c r="AD261" s="56"/>
      <c r="AE261" s="56"/>
      <c r="AF261" s="56"/>
      <c r="AG261" s="56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2:53" x14ac:dyDescent="0.25">
      <c r="B262" s="55"/>
      <c r="C262" s="56"/>
      <c r="D262" s="56"/>
      <c r="E262" s="56"/>
      <c r="F262" s="56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4"/>
      <c r="AB262" s="54"/>
      <c r="AC262" s="55"/>
      <c r="AD262" s="56"/>
      <c r="AE262" s="56"/>
      <c r="AF262" s="56"/>
      <c r="AG262" s="56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2:53" x14ac:dyDescent="0.25">
      <c r="B263" s="55"/>
      <c r="C263" s="56"/>
      <c r="D263" s="56"/>
      <c r="E263" s="56"/>
      <c r="F263" s="56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4"/>
      <c r="AB263" s="54"/>
      <c r="AC263" s="55"/>
      <c r="AD263" s="56"/>
      <c r="AE263" s="56"/>
      <c r="AF263" s="56"/>
      <c r="AG263" s="56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2:53" x14ac:dyDescent="0.25">
      <c r="B264" s="55"/>
      <c r="C264" s="56"/>
      <c r="D264" s="56"/>
      <c r="E264" s="56"/>
      <c r="F264" s="56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4"/>
      <c r="AB264" s="54"/>
      <c r="AC264" s="55"/>
      <c r="AD264" s="56"/>
      <c r="AE264" s="56"/>
      <c r="AF264" s="56"/>
      <c r="AG264" s="56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2:53" x14ac:dyDescent="0.25">
      <c r="B265" s="55"/>
      <c r="C265" s="56"/>
      <c r="D265" s="56"/>
      <c r="E265" s="56"/>
      <c r="F265" s="56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4"/>
      <c r="AB265" s="54"/>
      <c r="AC265" s="55"/>
      <c r="AD265" s="56"/>
      <c r="AE265" s="56"/>
      <c r="AF265" s="56"/>
      <c r="AG265" s="56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2:53" x14ac:dyDescent="0.25">
      <c r="B266" s="55"/>
      <c r="C266" s="56"/>
      <c r="D266" s="56"/>
      <c r="E266" s="56"/>
      <c r="F266" s="56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4"/>
      <c r="AB266" s="54"/>
      <c r="AC266" s="55"/>
      <c r="AD266" s="56"/>
      <c r="AE266" s="56"/>
      <c r="AF266" s="56"/>
      <c r="AG266" s="56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2:53" x14ac:dyDescent="0.25">
      <c r="B267" s="55"/>
      <c r="C267" s="56"/>
      <c r="D267" s="56"/>
      <c r="E267" s="56"/>
      <c r="F267" s="56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4"/>
      <c r="AB267" s="54"/>
      <c r="AC267" s="55"/>
      <c r="AD267" s="56"/>
      <c r="AE267" s="56"/>
      <c r="AF267" s="56"/>
      <c r="AG267" s="56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2:53" x14ac:dyDescent="0.25">
      <c r="B268" s="55"/>
      <c r="C268" s="56"/>
      <c r="D268" s="56"/>
      <c r="E268" s="56"/>
      <c r="F268" s="56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4"/>
      <c r="AB268" s="54"/>
      <c r="AC268" s="55"/>
      <c r="AD268" s="56"/>
      <c r="AE268" s="56"/>
      <c r="AF268" s="56"/>
      <c r="AG268" s="56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2:53" x14ac:dyDescent="0.25">
      <c r="B269" s="55"/>
      <c r="C269" s="56"/>
      <c r="D269" s="56"/>
      <c r="E269" s="56"/>
      <c r="F269" s="56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4"/>
      <c r="AB269" s="54"/>
      <c r="AC269" s="55"/>
      <c r="AD269" s="56"/>
      <c r="AE269" s="56"/>
      <c r="AF269" s="56"/>
      <c r="AG269" s="56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2:53" x14ac:dyDescent="0.25">
      <c r="B270" s="55"/>
      <c r="C270" s="56"/>
      <c r="D270" s="56"/>
      <c r="E270" s="56"/>
      <c r="F270" s="56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4"/>
      <c r="AB270" s="54"/>
      <c r="AC270" s="55"/>
      <c r="AD270" s="56"/>
      <c r="AE270" s="56"/>
      <c r="AF270" s="56"/>
      <c r="AG270" s="56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2:53" x14ac:dyDescent="0.25">
      <c r="B271" s="55"/>
      <c r="C271" s="56"/>
      <c r="D271" s="56"/>
      <c r="E271" s="56"/>
      <c r="F271" s="56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4"/>
      <c r="AB271" s="54"/>
      <c r="AC271" s="55"/>
      <c r="AD271" s="56"/>
      <c r="AE271" s="56"/>
      <c r="AF271" s="56"/>
      <c r="AG271" s="56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2:53" x14ac:dyDescent="0.25">
      <c r="B272" s="55"/>
      <c r="C272" s="56"/>
      <c r="D272" s="56"/>
      <c r="E272" s="56"/>
      <c r="F272" s="56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4"/>
      <c r="AB272" s="54"/>
      <c r="AC272" s="55"/>
      <c r="AD272" s="56"/>
      <c r="AE272" s="56"/>
      <c r="AF272" s="56"/>
      <c r="AG272" s="56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2:53" x14ac:dyDescent="0.25">
      <c r="B273" s="55"/>
      <c r="C273" s="56"/>
      <c r="D273" s="56"/>
      <c r="E273" s="56"/>
      <c r="F273" s="56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4"/>
      <c r="AB273" s="54"/>
      <c r="AC273" s="55"/>
      <c r="AD273" s="56"/>
      <c r="AE273" s="56"/>
      <c r="AF273" s="56"/>
      <c r="AG273" s="56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2:53" x14ac:dyDescent="0.25">
      <c r="B274" s="55"/>
      <c r="C274" s="56"/>
      <c r="D274" s="56"/>
      <c r="E274" s="56"/>
      <c r="F274" s="56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4"/>
      <c r="AB274" s="54"/>
      <c r="AC274" s="55"/>
      <c r="AD274" s="56"/>
      <c r="AE274" s="56"/>
      <c r="AF274" s="56"/>
      <c r="AG274" s="56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2:53" x14ac:dyDescent="0.25">
      <c r="B275" s="55"/>
      <c r="C275" s="56"/>
      <c r="D275" s="56"/>
      <c r="E275" s="56"/>
      <c r="F275" s="56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4"/>
      <c r="AB275" s="54"/>
      <c r="AC275" s="55"/>
      <c r="AD275" s="56"/>
      <c r="AE275" s="56"/>
      <c r="AF275" s="56"/>
      <c r="AG275" s="56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2:53" x14ac:dyDescent="0.25">
      <c r="B276" s="55"/>
      <c r="C276" s="56"/>
      <c r="D276" s="56"/>
      <c r="E276" s="56"/>
      <c r="F276" s="56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4"/>
      <c r="AB276" s="54"/>
      <c r="AC276" s="55"/>
      <c r="AD276" s="56"/>
      <c r="AE276" s="56"/>
      <c r="AF276" s="56"/>
      <c r="AG276" s="56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2:53" x14ac:dyDescent="0.25">
      <c r="B277" s="55"/>
      <c r="C277" s="56"/>
      <c r="D277" s="56"/>
      <c r="E277" s="56"/>
      <c r="F277" s="56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4"/>
      <c r="AB277" s="54"/>
      <c r="AC277" s="55"/>
      <c r="AD277" s="56"/>
      <c r="AE277" s="56"/>
      <c r="AF277" s="56"/>
      <c r="AG277" s="56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2:53" x14ac:dyDescent="0.25">
      <c r="B278" s="55"/>
      <c r="C278" s="56"/>
      <c r="D278" s="56"/>
      <c r="E278" s="56"/>
      <c r="F278" s="56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4"/>
      <c r="AB278" s="54"/>
      <c r="AC278" s="55"/>
      <c r="AD278" s="56"/>
      <c r="AE278" s="56"/>
      <c r="AF278" s="56"/>
      <c r="AG278" s="56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2:53" x14ac:dyDescent="0.25">
      <c r="B279" s="55"/>
      <c r="C279" s="56"/>
      <c r="D279" s="56"/>
      <c r="E279" s="56"/>
      <c r="F279" s="56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4"/>
      <c r="AB279" s="54"/>
      <c r="AC279" s="55"/>
      <c r="AD279" s="56"/>
      <c r="AE279" s="56"/>
      <c r="AF279" s="56"/>
      <c r="AG279" s="56"/>
      <c r="AH279" s="57"/>
      <c r="AI279" s="57"/>
      <c r="AJ279" s="57"/>
      <c r="AK279" s="57"/>
      <c r="AL279" s="57"/>
      <c r="AM279" s="57"/>
      <c r="AN279" s="57"/>
      <c r="AO279" s="57"/>
      <c r="AP279" s="57"/>
      <c r="AQ279" s="57"/>
      <c r="AR279" s="57"/>
      <c r="AS279" s="57"/>
      <c r="AT279" s="57"/>
      <c r="AU279" s="57"/>
      <c r="AV279" s="57"/>
      <c r="AW279" s="57"/>
      <c r="AX279" s="57"/>
      <c r="AY279" s="57"/>
      <c r="AZ279" s="57"/>
      <c r="BA279" s="57"/>
    </row>
    <row r="280" spans="2:53" x14ac:dyDescent="0.25">
      <c r="B280" s="55"/>
      <c r="C280" s="56"/>
      <c r="D280" s="56"/>
      <c r="E280" s="56"/>
      <c r="F280" s="56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4"/>
      <c r="AB280" s="54"/>
      <c r="AC280" s="55"/>
      <c r="AD280" s="56"/>
      <c r="AE280" s="56"/>
      <c r="AF280" s="56"/>
      <c r="AG280" s="56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</row>
    <row r="281" spans="2:53" x14ac:dyDescent="0.25">
      <c r="B281" s="55"/>
      <c r="C281" s="56"/>
      <c r="D281" s="56"/>
      <c r="E281" s="56"/>
      <c r="F281" s="56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4"/>
      <c r="AB281" s="54"/>
      <c r="AC281" s="55"/>
      <c r="AD281" s="56"/>
      <c r="AE281" s="56"/>
      <c r="AF281" s="56"/>
      <c r="AG281" s="56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</row>
    <row r="282" spans="2:53" x14ac:dyDescent="0.25">
      <c r="B282" s="55"/>
      <c r="C282" s="56"/>
      <c r="D282" s="56"/>
      <c r="E282" s="56"/>
      <c r="F282" s="56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4"/>
      <c r="AB282" s="54"/>
      <c r="AC282" s="55"/>
      <c r="AD282" s="56"/>
      <c r="AE282" s="56"/>
      <c r="AF282" s="56"/>
      <c r="AG282" s="56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</row>
    <row r="283" spans="2:53" x14ac:dyDescent="0.25">
      <c r="B283" s="55"/>
      <c r="C283" s="56"/>
      <c r="D283" s="56"/>
      <c r="E283" s="56"/>
      <c r="F283" s="56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4"/>
      <c r="AB283" s="54"/>
      <c r="AC283" s="55"/>
      <c r="AD283" s="56"/>
      <c r="AE283" s="56"/>
      <c r="AF283" s="56"/>
      <c r="AG283" s="56"/>
      <c r="AH283" s="57"/>
      <c r="AI283" s="57"/>
      <c r="AJ283" s="57"/>
      <c r="AK283" s="57"/>
      <c r="AL283" s="57"/>
      <c r="AM283" s="57"/>
      <c r="AN283" s="57"/>
      <c r="AO283" s="57"/>
      <c r="AP283" s="57"/>
      <c r="AQ283" s="57"/>
      <c r="AR283" s="57"/>
      <c r="AS283" s="57"/>
      <c r="AT283" s="57"/>
      <c r="AU283" s="57"/>
      <c r="AV283" s="57"/>
      <c r="AW283" s="57"/>
      <c r="AX283" s="57"/>
      <c r="AY283" s="57"/>
      <c r="AZ283" s="57"/>
      <c r="BA283" s="57"/>
    </row>
    <row r="284" spans="2:53" x14ac:dyDescent="0.25">
      <c r="B284" s="55"/>
      <c r="C284" s="56"/>
      <c r="D284" s="56"/>
      <c r="E284" s="56"/>
      <c r="F284" s="56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4"/>
      <c r="AB284" s="54"/>
      <c r="AC284" s="55"/>
      <c r="AD284" s="56"/>
      <c r="AE284" s="56"/>
      <c r="AF284" s="56"/>
      <c r="AG284" s="56"/>
      <c r="AH284" s="57"/>
      <c r="AI284" s="57"/>
      <c r="AJ284" s="57"/>
      <c r="AK284" s="57"/>
      <c r="AL284" s="57"/>
      <c r="AM284" s="57"/>
      <c r="AN284" s="57"/>
      <c r="AO284" s="57"/>
      <c r="AP284" s="57"/>
      <c r="AQ284" s="57"/>
      <c r="AR284" s="57"/>
      <c r="AS284" s="57"/>
      <c r="AT284" s="57"/>
      <c r="AU284" s="57"/>
      <c r="AV284" s="57"/>
      <c r="AW284" s="57"/>
      <c r="AX284" s="57"/>
      <c r="AY284" s="57"/>
      <c r="AZ284" s="57"/>
      <c r="BA284" s="57"/>
    </row>
    <row r="285" spans="2:53" x14ac:dyDescent="0.25">
      <c r="B285" s="55"/>
      <c r="C285" s="56"/>
      <c r="D285" s="56"/>
      <c r="E285" s="56"/>
      <c r="F285" s="56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4"/>
      <c r="AB285" s="54"/>
      <c r="AC285" s="55"/>
      <c r="AD285" s="56"/>
      <c r="AE285" s="56"/>
      <c r="AF285" s="56"/>
      <c r="AG285" s="56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58"/>
      <c r="AW285" s="58"/>
      <c r="AX285" s="58"/>
      <c r="AY285" s="58"/>
      <c r="AZ285" s="58"/>
      <c r="BA285" s="58"/>
    </row>
    <row r="286" spans="2:53" x14ac:dyDescent="0.25">
      <c r="B286" s="55"/>
      <c r="C286" s="56"/>
      <c r="D286" s="56"/>
      <c r="E286" s="56"/>
      <c r="F286" s="56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4"/>
      <c r="AB286" s="54"/>
      <c r="AC286" s="55"/>
      <c r="AD286" s="56"/>
      <c r="AE286" s="56"/>
      <c r="AF286" s="56"/>
      <c r="AG286" s="56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58"/>
      <c r="AW286" s="58"/>
      <c r="AX286" s="58"/>
      <c r="AY286" s="58"/>
      <c r="AZ286" s="58"/>
      <c r="BA286" s="58"/>
    </row>
    <row r="287" spans="2:53" x14ac:dyDescent="0.25">
      <c r="B287" s="55"/>
      <c r="C287" s="56"/>
      <c r="D287" s="56"/>
      <c r="E287" s="56"/>
      <c r="F287" s="56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4"/>
      <c r="AB287" s="54"/>
      <c r="AC287" s="55"/>
      <c r="AD287" s="56"/>
      <c r="AE287" s="56"/>
      <c r="AF287" s="56"/>
      <c r="AG287" s="56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</row>
    <row r="288" spans="2:53" x14ac:dyDescent="0.25">
      <c r="B288" s="55"/>
      <c r="C288" s="56"/>
      <c r="D288" s="56"/>
      <c r="E288" s="56"/>
      <c r="F288" s="56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4"/>
      <c r="AB288" s="54"/>
      <c r="AC288" s="55"/>
      <c r="AD288" s="56"/>
      <c r="AE288" s="56"/>
      <c r="AF288" s="56"/>
      <c r="AG288" s="56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58"/>
      <c r="AW288" s="58"/>
      <c r="AX288" s="58"/>
      <c r="AY288" s="58"/>
      <c r="AZ288" s="58"/>
      <c r="BA288" s="58"/>
    </row>
    <row r="289" spans="2:54" x14ac:dyDescent="0.25">
      <c r="B289" s="55"/>
      <c r="C289" s="56"/>
      <c r="D289" s="56"/>
      <c r="E289" s="56"/>
      <c r="F289" s="56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4"/>
      <c r="AB289" s="54"/>
      <c r="AC289" s="55"/>
      <c r="AD289" s="56"/>
      <c r="AE289" s="56"/>
      <c r="AF289" s="56"/>
      <c r="AG289" s="56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</row>
    <row r="290" spans="2:54" x14ac:dyDescent="0.25">
      <c r="B290" s="55"/>
      <c r="C290" s="56"/>
      <c r="D290" s="56"/>
      <c r="E290" s="56"/>
      <c r="F290" s="56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4"/>
      <c r="AB290" s="54"/>
      <c r="AC290" s="55"/>
      <c r="AD290" s="56"/>
      <c r="AE290" s="56"/>
      <c r="AF290" s="56"/>
      <c r="AG290" s="56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58"/>
      <c r="AW290" s="58"/>
      <c r="AX290" s="58"/>
      <c r="AY290" s="58"/>
      <c r="AZ290" s="58"/>
      <c r="BA290" s="58"/>
    </row>
    <row r="291" spans="2:54" x14ac:dyDescent="0.25">
      <c r="B291" s="55"/>
      <c r="C291" s="56"/>
      <c r="D291" s="56"/>
      <c r="E291" s="56"/>
      <c r="F291" s="56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4"/>
      <c r="AB291" s="54"/>
      <c r="AC291" s="55"/>
      <c r="AD291" s="56"/>
      <c r="AE291" s="56"/>
      <c r="AF291" s="56"/>
      <c r="AG291" s="56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</row>
    <row r="292" spans="2:54" x14ac:dyDescent="0.25">
      <c r="B292" s="55"/>
      <c r="C292" s="56"/>
      <c r="D292" s="56"/>
      <c r="E292" s="56"/>
      <c r="F292" s="56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4"/>
      <c r="AB292" s="54"/>
      <c r="AC292" s="55"/>
      <c r="AD292" s="56"/>
      <c r="AE292" s="56"/>
      <c r="AF292" s="56"/>
      <c r="AG292" s="56"/>
      <c r="AH292" s="57"/>
      <c r="AI292" s="57"/>
      <c r="AJ292" s="57"/>
      <c r="AK292" s="57"/>
      <c r="AL292" s="57"/>
      <c r="AM292" s="57"/>
      <c r="AN292" s="57"/>
      <c r="AO292" s="57"/>
      <c r="AP292" s="57"/>
      <c r="AQ292" s="57"/>
      <c r="AR292" s="57"/>
      <c r="AS292" s="57"/>
      <c r="AT292" s="57"/>
      <c r="AU292" s="57"/>
      <c r="AV292" s="57"/>
      <c r="AW292" s="57"/>
      <c r="AX292" s="57"/>
      <c r="AY292" s="57"/>
      <c r="AZ292" s="57"/>
      <c r="BA292" s="57"/>
    </row>
    <row r="293" spans="2:54" x14ac:dyDescent="0.25"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  <c r="V293" s="121"/>
      <c r="W293" s="121"/>
      <c r="X293" s="121"/>
      <c r="Y293" s="121"/>
      <c r="Z293" s="121"/>
      <c r="AA293" s="184"/>
      <c r="AB293" s="184"/>
      <c r="AD293" s="121"/>
      <c r="AE293" s="121"/>
      <c r="AF293" s="121"/>
      <c r="AG293" s="121"/>
      <c r="AH293" s="121"/>
      <c r="AI293" s="121"/>
      <c r="AJ293" s="121"/>
      <c r="AK293" s="121"/>
      <c r="AL293" s="121"/>
      <c r="AM293" s="121"/>
      <c r="AN293" s="121"/>
      <c r="AO293" s="121"/>
      <c r="AP293" s="121"/>
      <c r="AQ293" s="121"/>
      <c r="AR293" s="121"/>
      <c r="AS293" s="121"/>
      <c r="AT293" s="121"/>
      <c r="AU293" s="121"/>
      <c r="AV293" s="121"/>
      <c r="AW293" s="121"/>
      <c r="AX293" s="121"/>
      <c r="AY293" s="121"/>
      <c r="AZ293" s="121"/>
      <c r="BA293" s="121"/>
    </row>
    <row r="294" spans="2:54" x14ac:dyDescent="0.25"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32"/>
      <c r="S294" s="232"/>
      <c r="T294" s="232"/>
      <c r="U294" s="232"/>
      <c r="V294" s="232"/>
      <c r="W294" s="232"/>
      <c r="X294" s="232"/>
      <c r="Y294" s="232"/>
      <c r="Z294" s="232"/>
      <c r="AA294" s="184"/>
      <c r="AB294" s="184"/>
      <c r="AD294" s="232"/>
      <c r="AE294" s="232"/>
      <c r="AF294" s="232"/>
      <c r="AG294" s="232"/>
      <c r="AH294" s="232"/>
      <c r="AI294" s="232"/>
      <c r="AJ294" s="232"/>
      <c r="AK294" s="232"/>
      <c r="AL294" s="232"/>
      <c r="AM294" s="232"/>
      <c r="AN294" s="232"/>
      <c r="AO294" s="232"/>
      <c r="AP294" s="232"/>
      <c r="AQ294" s="232"/>
      <c r="AR294" s="232"/>
      <c r="AS294" s="232"/>
      <c r="AT294" s="232"/>
      <c r="AU294" s="232"/>
      <c r="AV294" s="232"/>
      <c r="AW294" s="232"/>
      <c r="AX294" s="232"/>
      <c r="AY294" s="232"/>
      <c r="AZ294" s="232"/>
      <c r="BA294" s="232"/>
    </row>
    <row r="295" spans="2:54" x14ac:dyDescent="0.25"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32"/>
      <c r="S295" s="232"/>
      <c r="T295" s="232"/>
      <c r="U295" s="232"/>
      <c r="V295" s="232"/>
      <c r="W295" s="232"/>
      <c r="X295" s="232"/>
      <c r="Y295" s="232"/>
      <c r="Z295" s="232"/>
      <c r="AA295" s="184"/>
      <c r="AB295" s="184"/>
      <c r="AD295" s="232"/>
      <c r="AE295" s="232"/>
      <c r="AF295" s="232"/>
      <c r="AG295" s="232"/>
      <c r="AH295" s="232"/>
      <c r="AI295" s="232"/>
      <c r="AJ295" s="232"/>
      <c r="AK295" s="232"/>
      <c r="AL295" s="232"/>
      <c r="AM295" s="232"/>
      <c r="AN295" s="232"/>
      <c r="AO295" s="232"/>
      <c r="AP295" s="232"/>
      <c r="AQ295" s="232"/>
      <c r="AR295" s="232"/>
      <c r="AS295" s="232"/>
      <c r="AT295" s="232"/>
      <c r="AU295" s="232"/>
      <c r="AV295" s="232"/>
      <c r="AW295" s="232"/>
      <c r="AX295" s="232"/>
      <c r="AY295" s="232"/>
      <c r="AZ295" s="232"/>
      <c r="BA295" s="232"/>
      <c r="BB295" s="73"/>
    </row>
    <row r="296" spans="2:54" x14ac:dyDescent="0.25"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32"/>
      <c r="S296" s="232"/>
      <c r="T296" s="232"/>
      <c r="U296" s="232"/>
      <c r="V296" s="232"/>
      <c r="W296" s="232"/>
      <c r="X296" s="232"/>
      <c r="Y296" s="232"/>
      <c r="Z296" s="232"/>
      <c r="AA296" s="184"/>
      <c r="AB296" s="184"/>
      <c r="AD296" s="232"/>
      <c r="AE296" s="232"/>
      <c r="AF296" s="232"/>
      <c r="AG296" s="232"/>
      <c r="AH296" s="232"/>
      <c r="AI296" s="232"/>
      <c r="AJ296" s="232"/>
      <c r="AK296" s="232"/>
      <c r="AL296" s="232"/>
      <c r="AM296" s="232"/>
      <c r="AN296" s="232"/>
      <c r="AO296" s="232"/>
      <c r="AP296" s="232"/>
      <c r="AQ296" s="232"/>
      <c r="AR296" s="232"/>
      <c r="AS296" s="232"/>
      <c r="AT296" s="232"/>
      <c r="AU296" s="232"/>
      <c r="AV296" s="232"/>
      <c r="AW296" s="232"/>
      <c r="AX296" s="232"/>
      <c r="AY296" s="232"/>
      <c r="AZ296" s="232"/>
      <c r="BA296" s="232"/>
      <c r="BB296" s="73"/>
    </row>
    <row r="297" spans="2:54" x14ac:dyDescent="0.25"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32"/>
      <c r="S297" s="232"/>
      <c r="T297" s="232"/>
      <c r="U297" s="232"/>
      <c r="V297" s="232"/>
      <c r="W297" s="232"/>
      <c r="X297" s="232"/>
      <c r="Y297" s="232"/>
      <c r="Z297" s="232"/>
      <c r="AA297" s="184"/>
      <c r="AB297" s="242"/>
      <c r="AD297" s="232"/>
      <c r="AE297" s="232"/>
      <c r="AF297" s="232"/>
      <c r="AG297" s="232"/>
      <c r="AH297" s="232"/>
      <c r="AI297" s="232"/>
      <c r="AJ297" s="232"/>
      <c r="AK297" s="232"/>
      <c r="AL297" s="232"/>
      <c r="AM297" s="232"/>
      <c r="AN297" s="232"/>
      <c r="AO297" s="232"/>
      <c r="AP297" s="232"/>
      <c r="AQ297" s="232"/>
      <c r="AR297" s="232"/>
      <c r="AS297" s="232"/>
      <c r="AT297" s="232"/>
      <c r="AU297" s="232"/>
      <c r="AV297" s="232"/>
      <c r="AW297" s="232"/>
      <c r="AX297" s="232"/>
      <c r="AY297" s="232"/>
      <c r="AZ297" s="232"/>
      <c r="BA297" s="232"/>
      <c r="BB297" s="73"/>
    </row>
    <row r="298" spans="2:54" x14ac:dyDescent="0.25"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  <c r="V298" s="121"/>
      <c r="W298" s="121"/>
      <c r="X298" s="121"/>
      <c r="Y298" s="121"/>
      <c r="Z298" s="121"/>
      <c r="AA298" s="184"/>
      <c r="AB298" s="184"/>
      <c r="AD298" s="121"/>
      <c r="AE298" s="121"/>
      <c r="AF298" s="121"/>
      <c r="AG298" s="121"/>
      <c r="AH298" s="121"/>
      <c r="AI298" s="121"/>
      <c r="AJ298" s="121"/>
      <c r="AK298" s="121"/>
      <c r="AL298" s="121"/>
      <c r="AM298" s="121"/>
      <c r="AN298" s="121"/>
      <c r="AO298" s="121"/>
      <c r="AP298" s="121"/>
      <c r="AQ298" s="121"/>
      <c r="AR298" s="121"/>
      <c r="AS298" s="121"/>
      <c r="AT298" s="121"/>
      <c r="AU298" s="121"/>
      <c r="AV298" s="121"/>
      <c r="AW298" s="121"/>
      <c r="AX298" s="121"/>
      <c r="AY298" s="121"/>
      <c r="AZ298" s="121"/>
      <c r="BA298" s="121"/>
    </row>
    <row r="299" spans="2:54" x14ac:dyDescent="0.25"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32"/>
      <c r="S299" s="232"/>
      <c r="T299" s="232"/>
      <c r="U299" s="232"/>
      <c r="V299" s="232"/>
      <c r="W299" s="232"/>
      <c r="X299" s="232"/>
      <c r="Y299" s="232"/>
      <c r="Z299" s="232"/>
      <c r="AA299" s="184"/>
      <c r="AB299" s="184"/>
      <c r="AD299" s="232"/>
      <c r="AE299" s="232"/>
      <c r="AF299" s="232"/>
      <c r="AG299" s="232"/>
      <c r="AH299" s="232"/>
      <c r="AI299" s="232"/>
      <c r="AJ299" s="232"/>
      <c r="AK299" s="232"/>
      <c r="AL299" s="232"/>
      <c r="AM299" s="232"/>
      <c r="AN299" s="232"/>
      <c r="AO299" s="232"/>
      <c r="AP299" s="232"/>
      <c r="AQ299" s="232"/>
      <c r="AR299" s="232"/>
      <c r="AS299" s="232"/>
      <c r="AT299" s="232"/>
      <c r="AU299" s="232"/>
      <c r="AV299" s="232"/>
      <c r="AW299" s="232"/>
      <c r="AX299" s="232"/>
      <c r="AY299" s="232"/>
      <c r="AZ299" s="232"/>
      <c r="BA299" s="232"/>
    </row>
    <row r="300" spans="2:54" x14ac:dyDescent="0.25"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32"/>
      <c r="S300" s="232"/>
      <c r="T300" s="232"/>
      <c r="U300" s="232"/>
      <c r="V300" s="232"/>
      <c r="W300" s="232"/>
      <c r="X300" s="232"/>
      <c r="Y300" s="232"/>
      <c r="Z300" s="232"/>
      <c r="AA300" s="184"/>
      <c r="AB300" s="184"/>
      <c r="AD300" s="232"/>
      <c r="AE300" s="232"/>
      <c r="AF300" s="232"/>
      <c r="AG300" s="232"/>
      <c r="AH300" s="232"/>
      <c r="AI300" s="232"/>
      <c r="AJ300" s="232"/>
      <c r="AK300" s="232"/>
      <c r="AL300" s="232"/>
      <c r="AM300" s="232"/>
      <c r="AN300" s="232"/>
      <c r="AO300" s="232"/>
      <c r="AP300" s="232"/>
      <c r="AQ300" s="232"/>
      <c r="AR300" s="232"/>
      <c r="AS300" s="232"/>
      <c r="AT300" s="232"/>
      <c r="AU300" s="232"/>
      <c r="AV300" s="232"/>
      <c r="AW300" s="232"/>
      <c r="AX300" s="232"/>
      <c r="AY300" s="232"/>
      <c r="AZ300" s="232"/>
      <c r="BA300" s="232"/>
      <c r="BB300" s="73"/>
    </row>
    <row r="301" spans="2:54" x14ac:dyDescent="0.25"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32"/>
      <c r="S301" s="232"/>
      <c r="T301" s="232"/>
      <c r="U301" s="232"/>
      <c r="V301" s="232"/>
      <c r="W301" s="232"/>
      <c r="X301" s="232"/>
      <c r="Y301" s="232"/>
      <c r="Z301" s="232"/>
      <c r="AA301" s="184"/>
      <c r="AB301" s="184"/>
      <c r="AD301" s="232"/>
      <c r="AE301" s="232"/>
      <c r="AF301" s="232"/>
      <c r="AG301" s="232"/>
      <c r="AH301" s="232"/>
      <c r="AI301" s="232"/>
      <c r="AJ301" s="232"/>
      <c r="AK301" s="232"/>
      <c r="AL301" s="232"/>
      <c r="AM301" s="232"/>
      <c r="AN301" s="232"/>
      <c r="AO301" s="232"/>
      <c r="AP301" s="232"/>
      <c r="AQ301" s="232"/>
      <c r="AR301" s="232"/>
      <c r="AS301" s="232"/>
      <c r="AT301" s="232"/>
      <c r="AU301" s="232"/>
      <c r="AV301" s="232"/>
      <c r="AW301" s="232"/>
      <c r="AX301" s="232"/>
      <c r="AY301" s="232"/>
      <c r="AZ301" s="232"/>
      <c r="BA301" s="232"/>
      <c r="BB301" s="73"/>
    </row>
    <row r="302" spans="2:54" x14ac:dyDescent="0.25">
      <c r="C302" s="121"/>
      <c r="D302" s="121"/>
      <c r="E302" s="121"/>
      <c r="F302" s="121"/>
      <c r="G302" s="121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  <c r="V302" s="121"/>
      <c r="W302" s="121"/>
      <c r="X302" s="121"/>
      <c r="Y302" s="121"/>
      <c r="Z302" s="121"/>
      <c r="AA302" s="184"/>
      <c r="AB302" s="184"/>
      <c r="AD302" s="121"/>
      <c r="AE302" s="121"/>
      <c r="AF302" s="121"/>
      <c r="AG302" s="121"/>
      <c r="AH302" s="121"/>
      <c r="AI302" s="121"/>
      <c r="AJ302" s="121"/>
      <c r="AK302" s="121"/>
      <c r="AL302" s="121"/>
      <c r="AM302" s="121"/>
      <c r="AN302" s="121"/>
      <c r="AO302" s="121"/>
      <c r="AP302" s="121"/>
      <c r="AQ302" s="121"/>
      <c r="AR302" s="121"/>
      <c r="AS302" s="121"/>
      <c r="AT302" s="121"/>
      <c r="AU302" s="121"/>
      <c r="AV302" s="121"/>
      <c r="AW302" s="121"/>
      <c r="AX302" s="121"/>
      <c r="AY302" s="121"/>
      <c r="AZ302" s="121"/>
      <c r="BA302" s="121"/>
    </row>
    <row r="303" spans="2:54" x14ac:dyDescent="0.25"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32"/>
      <c r="S303" s="232"/>
      <c r="T303" s="232"/>
      <c r="U303" s="232"/>
      <c r="V303" s="232"/>
      <c r="W303" s="232"/>
      <c r="X303" s="232"/>
      <c r="Y303" s="232"/>
      <c r="Z303" s="232"/>
      <c r="AA303" s="184"/>
      <c r="AB303" s="184"/>
      <c r="AD303" s="232"/>
      <c r="AE303" s="232"/>
      <c r="AF303" s="232"/>
      <c r="AG303" s="232"/>
      <c r="AH303" s="232"/>
      <c r="AI303" s="232"/>
      <c r="AJ303" s="232"/>
      <c r="AK303" s="232"/>
      <c r="AL303" s="232"/>
      <c r="AM303" s="232"/>
      <c r="AN303" s="232"/>
      <c r="AO303" s="232"/>
      <c r="AP303" s="232"/>
      <c r="AQ303" s="232"/>
      <c r="AR303" s="232"/>
      <c r="AS303" s="232"/>
      <c r="AT303" s="232"/>
      <c r="AU303" s="232"/>
      <c r="AV303" s="232"/>
      <c r="AW303" s="232"/>
      <c r="AX303" s="232"/>
      <c r="AY303" s="232"/>
      <c r="AZ303" s="232"/>
      <c r="BA303" s="232"/>
    </row>
    <row r="304" spans="2:54" x14ac:dyDescent="0.25"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32"/>
      <c r="S304" s="232"/>
      <c r="T304" s="232"/>
      <c r="U304" s="232"/>
      <c r="V304" s="232"/>
      <c r="W304" s="232"/>
      <c r="X304" s="232"/>
      <c r="Y304" s="232"/>
      <c r="Z304" s="232"/>
      <c r="AA304" s="184"/>
      <c r="AB304" s="184"/>
      <c r="AD304" s="232"/>
      <c r="AE304" s="232"/>
      <c r="AF304" s="232"/>
      <c r="AG304" s="232"/>
      <c r="AH304" s="232"/>
      <c r="AI304" s="232"/>
      <c r="AJ304" s="232"/>
      <c r="AK304" s="232"/>
      <c r="AL304" s="232"/>
      <c r="AM304" s="232"/>
      <c r="AN304" s="232"/>
      <c r="AO304" s="232"/>
      <c r="AP304" s="232"/>
      <c r="AQ304" s="232"/>
      <c r="AR304" s="232"/>
      <c r="AS304" s="232"/>
      <c r="AT304" s="232"/>
      <c r="AU304" s="232"/>
      <c r="AV304" s="232"/>
      <c r="AW304" s="232"/>
      <c r="AX304" s="232"/>
      <c r="AY304" s="232"/>
      <c r="AZ304" s="232"/>
      <c r="BA304" s="232"/>
      <c r="BB304" s="73"/>
    </row>
    <row r="305" spans="2:54" x14ac:dyDescent="0.25"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32"/>
      <c r="S305" s="232"/>
      <c r="T305" s="232"/>
      <c r="U305" s="232"/>
      <c r="V305" s="232"/>
      <c r="W305" s="232"/>
      <c r="X305" s="232"/>
      <c r="Y305" s="232"/>
      <c r="Z305" s="232"/>
      <c r="AA305" s="184"/>
      <c r="AB305" s="184"/>
      <c r="AD305" s="232"/>
      <c r="AE305" s="232"/>
      <c r="AF305" s="232"/>
      <c r="AG305" s="232"/>
      <c r="AH305" s="232"/>
      <c r="AI305" s="232"/>
      <c r="AJ305" s="232"/>
      <c r="AK305" s="232"/>
      <c r="AL305" s="232"/>
      <c r="AM305" s="232"/>
      <c r="AN305" s="232"/>
      <c r="AO305" s="232"/>
      <c r="AP305" s="232"/>
      <c r="AQ305" s="232"/>
      <c r="AR305" s="232"/>
      <c r="AS305" s="232"/>
      <c r="AT305" s="232"/>
      <c r="AU305" s="232"/>
      <c r="AV305" s="232"/>
      <c r="AW305" s="232"/>
      <c r="AX305" s="232"/>
      <c r="AY305" s="232"/>
      <c r="AZ305" s="232"/>
      <c r="BA305" s="232"/>
      <c r="BB305" s="73"/>
    </row>
    <row r="306" spans="2:54" x14ac:dyDescent="0.25">
      <c r="C306" s="121"/>
      <c r="D306" s="121"/>
      <c r="E306" s="121"/>
      <c r="F306" s="121"/>
      <c r="G306" s="121"/>
      <c r="H306" s="121"/>
      <c r="I306" s="121"/>
      <c r="J306" s="121"/>
      <c r="K306" s="121"/>
      <c r="L306" s="121"/>
      <c r="M306" s="121"/>
      <c r="N306" s="121"/>
      <c r="O306" s="121"/>
      <c r="P306" s="121"/>
      <c r="Q306" s="121"/>
      <c r="R306" s="121"/>
      <c r="S306" s="121"/>
      <c r="T306" s="121"/>
      <c r="U306" s="121"/>
      <c r="V306" s="121"/>
      <c r="W306" s="121"/>
      <c r="X306" s="121"/>
      <c r="Y306" s="121"/>
      <c r="Z306" s="121"/>
      <c r="AA306" s="184"/>
      <c r="AB306" s="184"/>
      <c r="AD306" s="121"/>
      <c r="AE306" s="121"/>
      <c r="AF306" s="121"/>
      <c r="AG306" s="121"/>
      <c r="AH306" s="121"/>
      <c r="AI306" s="121"/>
      <c r="AJ306" s="121"/>
      <c r="AK306" s="121"/>
      <c r="AL306" s="121"/>
      <c r="AM306" s="121"/>
      <c r="AN306" s="121"/>
      <c r="AO306" s="121"/>
      <c r="AP306" s="121"/>
      <c r="AQ306" s="121"/>
      <c r="AR306" s="121"/>
      <c r="AS306" s="121"/>
      <c r="AT306" s="121"/>
      <c r="AU306" s="121"/>
      <c r="AV306" s="121"/>
      <c r="AW306" s="121"/>
      <c r="AX306" s="121"/>
      <c r="AY306" s="121"/>
      <c r="AZ306" s="121"/>
      <c r="BA306" s="121"/>
    </row>
    <row r="307" spans="2:54" x14ac:dyDescent="0.25"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32"/>
      <c r="S307" s="232"/>
      <c r="T307" s="232"/>
      <c r="U307" s="232"/>
      <c r="V307" s="232"/>
      <c r="W307" s="232"/>
      <c r="X307" s="232"/>
      <c r="Y307" s="232"/>
      <c r="Z307" s="232"/>
      <c r="AA307" s="184"/>
      <c r="AB307" s="184"/>
      <c r="AD307" s="232"/>
      <c r="AE307" s="232"/>
      <c r="AF307" s="232"/>
      <c r="AG307" s="232"/>
      <c r="AH307" s="232"/>
      <c r="AI307" s="232"/>
      <c r="AJ307" s="232"/>
      <c r="AK307" s="232"/>
      <c r="AL307" s="232"/>
      <c r="AM307" s="232"/>
      <c r="AN307" s="232"/>
      <c r="AO307" s="232"/>
      <c r="AP307" s="232"/>
      <c r="AQ307" s="232"/>
      <c r="AR307" s="232"/>
      <c r="AS307" s="232"/>
      <c r="AT307" s="232"/>
      <c r="AU307" s="232"/>
      <c r="AV307" s="232"/>
      <c r="AW307" s="232"/>
      <c r="AX307" s="232"/>
      <c r="AY307" s="232"/>
      <c r="AZ307" s="232"/>
      <c r="BA307" s="232"/>
    </row>
    <row r="308" spans="2:54" x14ac:dyDescent="0.25"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32"/>
      <c r="S308" s="232"/>
      <c r="T308" s="232"/>
      <c r="U308" s="232"/>
      <c r="V308" s="232"/>
      <c r="W308" s="232"/>
      <c r="X308" s="232"/>
      <c r="Y308" s="232"/>
      <c r="Z308" s="232"/>
      <c r="AA308" s="184"/>
      <c r="AB308" s="184"/>
      <c r="AD308" s="232"/>
      <c r="AE308" s="232"/>
      <c r="AF308" s="232"/>
      <c r="AG308" s="232"/>
      <c r="AH308" s="232"/>
      <c r="AI308" s="232"/>
      <c r="AJ308" s="232"/>
      <c r="AK308" s="232"/>
      <c r="AL308" s="232"/>
      <c r="AM308" s="232"/>
      <c r="AN308" s="232"/>
      <c r="AO308" s="232"/>
      <c r="AP308" s="232"/>
      <c r="AQ308" s="232"/>
      <c r="AR308" s="232"/>
      <c r="AS308" s="232"/>
      <c r="AT308" s="232"/>
      <c r="AU308" s="232"/>
      <c r="AV308" s="232"/>
      <c r="AW308" s="232"/>
      <c r="AX308" s="232"/>
      <c r="AY308" s="232"/>
      <c r="AZ308" s="232"/>
      <c r="BA308" s="232"/>
      <c r="BB308" s="73"/>
    </row>
    <row r="309" spans="2:54" x14ac:dyDescent="0.25"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32"/>
      <c r="S309" s="232"/>
      <c r="T309" s="232"/>
      <c r="U309" s="232"/>
      <c r="V309" s="232"/>
      <c r="W309" s="232"/>
      <c r="X309" s="232"/>
      <c r="Y309" s="232"/>
      <c r="Z309" s="232"/>
      <c r="AA309" s="184"/>
      <c r="AB309" s="184"/>
      <c r="AD309" s="232"/>
      <c r="AE309" s="232"/>
      <c r="AF309" s="232"/>
      <c r="AG309" s="232"/>
      <c r="AH309" s="232"/>
      <c r="AI309" s="232"/>
      <c r="AJ309" s="232"/>
      <c r="AK309" s="232"/>
      <c r="AL309" s="232"/>
      <c r="AM309" s="232"/>
      <c r="AN309" s="232"/>
      <c r="AO309" s="232"/>
      <c r="AP309" s="232"/>
      <c r="AQ309" s="232"/>
      <c r="AR309" s="232"/>
      <c r="AS309" s="232"/>
      <c r="AT309" s="232"/>
      <c r="AU309" s="232"/>
      <c r="AV309" s="232"/>
      <c r="AW309" s="232"/>
      <c r="AX309" s="232"/>
      <c r="AY309" s="232"/>
      <c r="AZ309" s="232"/>
      <c r="BA309" s="232"/>
      <c r="BB309" s="73"/>
    </row>
    <row r="310" spans="2:54" x14ac:dyDescent="0.25">
      <c r="B310" s="56"/>
      <c r="C310" s="56"/>
      <c r="D310" s="56"/>
      <c r="E310" s="121"/>
      <c r="F310" s="121"/>
      <c r="G310" s="235"/>
      <c r="H310" s="235"/>
      <c r="I310" s="235"/>
      <c r="J310" s="235"/>
      <c r="K310" s="235"/>
      <c r="L310" s="235"/>
      <c r="M310" s="235"/>
      <c r="N310" s="235"/>
      <c r="O310" s="235"/>
      <c r="P310" s="235"/>
      <c r="Q310" s="235"/>
      <c r="R310" s="235"/>
      <c r="S310" s="235"/>
      <c r="T310" s="235"/>
      <c r="U310" s="235"/>
      <c r="V310" s="235"/>
      <c r="W310" s="235"/>
      <c r="X310" s="235"/>
      <c r="Y310" s="235"/>
      <c r="Z310" s="235"/>
      <c r="AA310" s="241"/>
      <c r="AB310" s="241"/>
      <c r="AC310" s="121"/>
      <c r="AD310" s="121"/>
      <c r="AE310" s="121"/>
      <c r="AF310" s="121"/>
      <c r="AG310" s="121"/>
      <c r="AH310" s="235"/>
      <c r="AI310" s="235"/>
      <c r="AJ310" s="235"/>
      <c r="AK310" s="235"/>
      <c r="AL310" s="235"/>
      <c r="AM310" s="235"/>
      <c r="AN310" s="235"/>
      <c r="AO310" s="235"/>
      <c r="AP310" s="235"/>
      <c r="AQ310" s="235"/>
      <c r="AR310" s="235"/>
      <c r="AS310" s="235"/>
      <c r="AT310" s="235"/>
      <c r="AU310" s="235"/>
      <c r="AV310" s="235"/>
      <c r="AW310" s="235"/>
      <c r="AX310" s="235"/>
      <c r="AY310" s="235"/>
      <c r="AZ310" s="235"/>
      <c r="BA310" s="235"/>
    </row>
    <row r="311" spans="2:54" x14ac:dyDescent="0.25">
      <c r="B311" s="56"/>
      <c r="C311" s="56"/>
      <c r="D311" s="56"/>
      <c r="E311" s="121"/>
      <c r="F311" s="121"/>
      <c r="G311" s="235"/>
      <c r="H311" s="235"/>
      <c r="I311" s="235"/>
      <c r="J311" s="235"/>
      <c r="K311" s="235"/>
      <c r="L311" s="235"/>
      <c r="M311" s="235"/>
      <c r="N311" s="235"/>
      <c r="O311" s="235"/>
      <c r="P311" s="235"/>
      <c r="Q311" s="235"/>
      <c r="R311" s="235"/>
      <c r="S311" s="235"/>
      <c r="T311" s="235"/>
      <c r="U311" s="235"/>
      <c r="V311" s="235"/>
      <c r="W311" s="235"/>
      <c r="X311" s="235"/>
      <c r="Y311" s="235"/>
      <c r="Z311" s="235"/>
      <c r="AA311" s="241"/>
      <c r="AB311" s="241"/>
      <c r="AC311" s="121"/>
      <c r="AD311" s="121"/>
      <c r="AE311" s="121"/>
      <c r="AF311" s="121"/>
      <c r="AG311" s="121"/>
      <c r="AH311" s="235"/>
      <c r="AI311" s="235"/>
      <c r="AJ311" s="235"/>
      <c r="AK311" s="235"/>
      <c r="AL311" s="235"/>
      <c r="AM311" s="235"/>
      <c r="AN311" s="235"/>
      <c r="AO311" s="235"/>
      <c r="AP311" s="235"/>
      <c r="AQ311" s="235"/>
      <c r="AR311" s="235"/>
      <c r="AS311" s="235"/>
      <c r="AT311" s="235"/>
      <c r="AU311" s="235"/>
      <c r="AV311" s="235"/>
      <c r="AW311" s="235"/>
      <c r="AX311" s="235"/>
      <c r="AY311" s="235"/>
      <c r="AZ311" s="235"/>
      <c r="BA311" s="235"/>
    </row>
    <row r="312" spans="2:54" x14ac:dyDescent="0.25">
      <c r="B312" s="56"/>
      <c r="C312" s="56"/>
      <c r="D312" s="56"/>
      <c r="E312" s="121"/>
      <c r="F312" s="121"/>
      <c r="G312" s="235"/>
      <c r="H312" s="235"/>
      <c r="I312" s="235"/>
      <c r="J312" s="235"/>
      <c r="K312" s="235"/>
      <c r="L312" s="235"/>
      <c r="M312" s="235"/>
      <c r="N312" s="235"/>
      <c r="O312" s="235"/>
      <c r="P312" s="235"/>
      <c r="Q312" s="235"/>
      <c r="R312" s="235"/>
      <c r="S312" s="235"/>
      <c r="T312" s="235"/>
      <c r="U312" s="235"/>
      <c r="V312" s="235"/>
      <c r="W312" s="235"/>
      <c r="X312" s="235"/>
      <c r="Y312" s="235"/>
      <c r="Z312" s="235"/>
      <c r="AA312" s="241"/>
      <c r="AB312" s="241"/>
      <c r="AC312" s="121"/>
      <c r="AD312" s="121"/>
      <c r="AE312" s="121"/>
      <c r="AF312" s="121"/>
      <c r="AG312" s="121"/>
      <c r="AH312" s="235"/>
      <c r="AI312" s="235"/>
      <c r="AJ312" s="235"/>
      <c r="AK312" s="235"/>
      <c r="AL312" s="235"/>
      <c r="AM312" s="235"/>
      <c r="AN312" s="235"/>
      <c r="AO312" s="235"/>
      <c r="AP312" s="235"/>
      <c r="AQ312" s="235"/>
      <c r="AR312" s="235"/>
      <c r="AS312" s="235"/>
      <c r="AT312" s="235"/>
      <c r="AU312" s="235"/>
      <c r="AV312" s="235"/>
      <c r="AW312" s="235"/>
      <c r="AX312" s="235"/>
      <c r="AY312" s="235"/>
      <c r="AZ312" s="235"/>
      <c r="BA312" s="235"/>
    </row>
    <row r="313" spans="2:54" x14ac:dyDescent="0.25">
      <c r="B313" s="56"/>
      <c r="C313" s="56"/>
      <c r="D313" s="56"/>
      <c r="E313" s="121"/>
      <c r="F313" s="121"/>
      <c r="G313" s="235"/>
      <c r="H313" s="235"/>
      <c r="I313" s="235"/>
      <c r="J313" s="235"/>
      <c r="K313" s="235"/>
      <c r="L313" s="235"/>
      <c r="M313" s="235"/>
      <c r="N313" s="235"/>
      <c r="O313" s="235"/>
      <c r="P313" s="235"/>
      <c r="Q313" s="235"/>
      <c r="R313" s="235"/>
      <c r="S313" s="235"/>
      <c r="T313" s="235"/>
      <c r="U313" s="235"/>
      <c r="V313" s="235"/>
      <c r="W313" s="235"/>
      <c r="X313" s="235"/>
      <c r="Y313" s="235"/>
      <c r="Z313" s="235"/>
      <c r="AA313" s="241"/>
      <c r="AB313" s="241"/>
      <c r="AC313" s="121"/>
      <c r="AD313" s="121"/>
      <c r="AE313" s="121"/>
      <c r="AF313" s="121"/>
      <c r="AG313" s="121"/>
      <c r="AH313" s="235"/>
      <c r="AI313" s="235"/>
      <c r="AJ313" s="235"/>
      <c r="AK313" s="235"/>
      <c r="AL313" s="235"/>
      <c r="AM313" s="235"/>
      <c r="AN313" s="235"/>
      <c r="AO313" s="235"/>
      <c r="AP313" s="235"/>
      <c r="AQ313" s="235"/>
      <c r="AR313" s="235"/>
      <c r="AS313" s="235"/>
      <c r="AT313" s="235"/>
      <c r="AU313" s="235"/>
      <c r="AV313" s="235"/>
      <c r="AW313" s="235"/>
      <c r="AX313" s="235"/>
      <c r="AY313" s="235"/>
      <c r="AZ313" s="235"/>
      <c r="BA313" s="235"/>
    </row>
    <row r="314" spans="2:54" x14ac:dyDescent="0.25">
      <c r="B314" s="56"/>
      <c r="C314" s="56"/>
      <c r="D314" s="56"/>
      <c r="E314" s="121"/>
      <c r="F314" s="121"/>
      <c r="G314" s="235"/>
      <c r="H314" s="235"/>
      <c r="I314" s="235"/>
      <c r="J314" s="235"/>
      <c r="K314" s="235"/>
      <c r="L314" s="235"/>
      <c r="M314" s="235"/>
      <c r="N314" s="235"/>
      <c r="O314" s="235"/>
      <c r="P314" s="235"/>
      <c r="Q314" s="235"/>
      <c r="R314" s="235"/>
      <c r="S314" s="235"/>
      <c r="T314" s="235"/>
      <c r="U314" s="235"/>
      <c r="V314" s="235"/>
      <c r="W314" s="235"/>
      <c r="X314" s="235"/>
      <c r="Y314" s="235"/>
      <c r="Z314" s="235"/>
      <c r="AA314" s="241"/>
      <c r="AB314" s="241"/>
      <c r="AC314" s="121"/>
      <c r="AD314" s="121"/>
      <c r="AE314" s="121"/>
      <c r="AF314" s="121"/>
      <c r="AG314" s="121"/>
      <c r="AH314" s="235"/>
      <c r="AI314" s="235"/>
      <c r="AJ314" s="235"/>
      <c r="AK314" s="235"/>
      <c r="AL314" s="235"/>
      <c r="AM314" s="235"/>
      <c r="AN314" s="235"/>
      <c r="AO314" s="235"/>
      <c r="AP314" s="235"/>
      <c r="AQ314" s="235"/>
      <c r="AR314" s="235"/>
      <c r="AS314" s="235"/>
      <c r="AT314" s="235"/>
      <c r="AU314" s="235"/>
      <c r="AV314" s="235"/>
      <c r="AW314" s="235"/>
      <c r="AX314" s="235"/>
      <c r="AY314" s="235"/>
      <c r="AZ314" s="235"/>
      <c r="BA314" s="235"/>
    </row>
    <row r="315" spans="2:54" x14ac:dyDescent="0.25">
      <c r="B315" s="56"/>
      <c r="C315" s="56"/>
      <c r="D315" s="56"/>
      <c r="E315" s="121"/>
      <c r="F315" s="121"/>
      <c r="G315" s="235"/>
      <c r="H315" s="235"/>
      <c r="I315" s="235"/>
      <c r="J315" s="235"/>
      <c r="K315" s="235"/>
      <c r="L315" s="235"/>
      <c r="M315" s="235"/>
      <c r="N315" s="235"/>
      <c r="O315" s="235"/>
      <c r="P315" s="235"/>
      <c r="Q315" s="235"/>
      <c r="R315" s="235"/>
      <c r="S315" s="235"/>
      <c r="T315" s="235"/>
      <c r="U315" s="235"/>
      <c r="V315" s="235"/>
      <c r="W315" s="235"/>
      <c r="X315" s="235"/>
      <c r="Y315" s="235"/>
      <c r="Z315" s="235"/>
      <c r="AA315" s="241"/>
      <c r="AB315" s="241"/>
      <c r="AC315" s="121"/>
      <c r="AD315" s="121"/>
      <c r="AE315" s="121"/>
      <c r="AF315" s="121"/>
      <c r="AG315" s="121"/>
      <c r="AH315" s="235"/>
      <c r="AI315" s="235"/>
      <c r="AJ315" s="235"/>
      <c r="AK315" s="235"/>
      <c r="AL315" s="235"/>
      <c r="AM315" s="235"/>
      <c r="AN315" s="235"/>
      <c r="AO315" s="235"/>
      <c r="AP315" s="235"/>
      <c r="AQ315" s="235"/>
      <c r="AR315" s="235"/>
      <c r="AS315" s="235"/>
      <c r="AT315" s="235"/>
      <c r="AU315" s="235"/>
      <c r="AV315" s="235"/>
      <c r="AW315" s="235"/>
      <c r="AX315" s="235"/>
      <c r="AY315" s="235"/>
      <c r="AZ315" s="235"/>
      <c r="BA315" s="235"/>
    </row>
    <row r="316" spans="2:54" x14ac:dyDescent="0.25">
      <c r="B316" s="56"/>
      <c r="C316" s="56"/>
      <c r="D316" s="56"/>
      <c r="E316" s="121"/>
      <c r="F316" s="121"/>
      <c r="G316" s="235"/>
      <c r="H316" s="235"/>
      <c r="I316" s="235"/>
      <c r="J316" s="235"/>
      <c r="K316" s="235"/>
      <c r="L316" s="235"/>
      <c r="M316" s="235"/>
      <c r="N316" s="235"/>
      <c r="O316" s="235"/>
      <c r="P316" s="235"/>
      <c r="Q316" s="235"/>
      <c r="R316" s="235"/>
      <c r="S316" s="235"/>
      <c r="T316" s="235"/>
      <c r="U316" s="235"/>
      <c r="V316" s="235"/>
      <c r="W316" s="235"/>
      <c r="X316" s="235"/>
      <c r="Y316" s="235"/>
      <c r="Z316" s="235"/>
      <c r="AA316" s="241"/>
      <c r="AB316" s="241"/>
      <c r="AC316" s="121"/>
      <c r="AD316" s="121"/>
      <c r="AE316" s="121"/>
      <c r="AF316" s="121"/>
      <c r="AG316" s="121"/>
      <c r="AH316" s="235"/>
      <c r="AI316" s="235"/>
      <c r="AJ316" s="235"/>
      <c r="AK316" s="235"/>
      <c r="AL316" s="235"/>
      <c r="AM316" s="235"/>
      <c r="AN316" s="235"/>
      <c r="AO316" s="235"/>
      <c r="AP316" s="235"/>
      <c r="AQ316" s="235"/>
      <c r="AR316" s="235"/>
      <c r="AS316" s="235"/>
      <c r="AT316" s="235"/>
      <c r="AU316" s="235"/>
      <c r="AV316" s="235"/>
      <c r="AW316" s="235"/>
      <c r="AX316" s="235"/>
      <c r="AY316" s="235"/>
      <c r="AZ316" s="235"/>
      <c r="BA316" s="235"/>
    </row>
    <row r="317" spans="2:54" x14ac:dyDescent="0.25">
      <c r="B317" s="56"/>
      <c r="C317" s="56"/>
      <c r="D317" s="56"/>
      <c r="E317" s="121"/>
      <c r="F317" s="121"/>
      <c r="G317" s="235"/>
      <c r="H317" s="235"/>
      <c r="I317" s="235"/>
      <c r="J317" s="235"/>
      <c r="K317" s="235"/>
      <c r="L317" s="235"/>
      <c r="M317" s="235"/>
      <c r="N317" s="235"/>
      <c r="O317" s="235"/>
      <c r="P317" s="235"/>
      <c r="Q317" s="235"/>
      <c r="R317" s="235"/>
      <c r="S317" s="235"/>
      <c r="T317" s="235"/>
      <c r="U317" s="235"/>
      <c r="V317" s="235"/>
      <c r="W317" s="235"/>
      <c r="X317" s="235"/>
      <c r="Y317" s="235"/>
      <c r="Z317" s="235"/>
      <c r="AA317" s="241"/>
      <c r="AB317" s="241"/>
      <c r="AC317" s="121"/>
      <c r="AD317" s="121"/>
      <c r="AE317" s="121"/>
      <c r="AF317" s="121"/>
      <c r="AG317" s="121"/>
      <c r="AH317" s="235"/>
      <c r="AI317" s="235"/>
      <c r="AJ317" s="235"/>
      <c r="AK317" s="235"/>
      <c r="AL317" s="235"/>
      <c r="AM317" s="235"/>
      <c r="AN317" s="235"/>
      <c r="AO317" s="235"/>
      <c r="AP317" s="235"/>
      <c r="AQ317" s="235"/>
      <c r="AR317" s="235"/>
      <c r="AS317" s="235"/>
      <c r="AT317" s="235"/>
      <c r="AU317" s="235"/>
      <c r="AV317" s="235"/>
      <c r="AW317" s="235"/>
      <c r="AX317" s="235"/>
      <c r="AY317" s="235"/>
      <c r="AZ317" s="235"/>
      <c r="BA317" s="235"/>
    </row>
    <row r="318" spans="2:54" x14ac:dyDescent="0.25">
      <c r="B318" s="56"/>
      <c r="C318" s="56"/>
      <c r="D318" s="56"/>
      <c r="E318" s="121"/>
      <c r="F318" s="121"/>
      <c r="G318" s="235"/>
      <c r="H318" s="235"/>
      <c r="I318" s="235"/>
      <c r="J318" s="235"/>
      <c r="K318" s="235"/>
      <c r="L318" s="235"/>
      <c r="M318" s="235"/>
      <c r="N318" s="235"/>
      <c r="O318" s="235"/>
      <c r="P318" s="235"/>
      <c r="Q318" s="235"/>
      <c r="R318" s="235"/>
      <c r="S318" s="235"/>
      <c r="T318" s="235"/>
      <c r="U318" s="235"/>
      <c r="V318" s="235"/>
      <c r="W318" s="235"/>
      <c r="X318" s="235"/>
      <c r="Y318" s="235"/>
      <c r="Z318" s="235"/>
      <c r="AA318" s="241"/>
      <c r="AB318" s="241"/>
      <c r="AC318" s="121"/>
      <c r="AD318" s="121"/>
      <c r="AE318" s="121"/>
      <c r="AF318" s="121"/>
      <c r="AG318" s="121"/>
      <c r="AH318" s="235"/>
      <c r="AI318" s="235"/>
      <c r="AJ318" s="235"/>
      <c r="AK318" s="235"/>
      <c r="AL318" s="235"/>
      <c r="AM318" s="235"/>
      <c r="AN318" s="235"/>
      <c r="AO318" s="235"/>
      <c r="AP318" s="235"/>
      <c r="AQ318" s="235"/>
      <c r="AR318" s="235"/>
      <c r="AS318" s="235"/>
      <c r="AT318" s="235"/>
      <c r="AU318" s="235"/>
      <c r="AV318" s="235"/>
      <c r="AW318" s="235"/>
      <c r="AX318" s="235"/>
      <c r="AY318" s="235"/>
      <c r="AZ318" s="235"/>
      <c r="BA318" s="235"/>
    </row>
    <row r="319" spans="2:54" x14ac:dyDescent="0.25">
      <c r="B319" s="56"/>
      <c r="C319" s="56"/>
      <c r="D319" s="56"/>
      <c r="E319" s="121"/>
      <c r="F319" s="121"/>
      <c r="G319" s="235"/>
      <c r="H319" s="235"/>
      <c r="I319" s="235"/>
      <c r="J319" s="235"/>
      <c r="K319" s="235"/>
      <c r="L319" s="235"/>
      <c r="M319" s="235"/>
      <c r="N319" s="235"/>
      <c r="O319" s="235"/>
      <c r="P319" s="235"/>
      <c r="Q319" s="235"/>
      <c r="R319" s="235"/>
      <c r="S319" s="235"/>
      <c r="T319" s="235"/>
      <c r="U319" s="235"/>
      <c r="V319" s="235"/>
      <c r="W319" s="235"/>
      <c r="X319" s="235"/>
      <c r="Y319" s="235"/>
      <c r="Z319" s="235"/>
      <c r="AA319" s="241"/>
      <c r="AB319" s="241"/>
      <c r="AC319" s="121"/>
      <c r="AD319" s="121"/>
      <c r="AE319" s="121"/>
      <c r="AF319" s="121"/>
      <c r="AG319" s="121"/>
      <c r="AH319" s="235"/>
      <c r="AI319" s="235"/>
      <c r="AJ319" s="235"/>
      <c r="AK319" s="235"/>
      <c r="AL319" s="235"/>
      <c r="AM319" s="235"/>
      <c r="AN319" s="235"/>
      <c r="AO319" s="235"/>
      <c r="AP319" s="235"/>
      <c r="AQ319" s="235"/>
      <c r="AR319" s="235"/>
      <c r="AS319" s="235"/>
      <c r="AT319" s="235"/>
      <c r="AU319" s="235"/>
      <c r="AV319" s="235"/>
      <c r="AW319" s="235"/>
      <c r="AX319" s="235"/>
      <c r="AY319" s="235"/>
      <c r="AZ319" s="235"/>
      <c r="BA319" s="235"/>
    </row>
    <row r="320" spans="2:54" x14ac:dyDescent="0.25">
      <c r="B320" s="56"/>
      <c r="C320" s="56"/>
      <c r="D320" s="56"/>
      <c r="E320" s="121"/>
      <c r="F320" s="121"/>
      <c r="G320" s="235"/>
      <c r="H320" s="235"/>
      <c r="I320" s="235"/>
      <c r="J320" s="235"/>
      <c r="K320" s="235"/>
      <c r="L320" s="235"/>
      <c r="M320" s="235"/>
      <c r="N320" s="235"/>
      <c r="O320" s="235"/>
      <c r="P320" s="235"/>
      <c r="Q320" s="235"/>
      <c r="R320" s="235"/>
      <c r="S320" s="235"/>
      <c r="T320" s="235"/>
      <c r="U320" s="235"/>
      <c r="V320" s="235"/>
      <c r="W320" s="235"/>
      <c r="X320" s="235"/>
      <c r="Y320" s="235"/>
      <c r="Z320" s="235"/>
      <c r="AA320" s="241"/>
      <c r="AB320" s="241"/>
      <c r="AC320" s="121"/>
      <c r="AD320" s="121"/>
      <c r="AE320" s="121"/>
      <c r="AF320" s="121"/>
      <c r="AG320" s="121"/>
      <c r="AH320" s="235"/>
      <c r="AI320" s="235"/>
      <c r="AJ320" s="235"/>
      <c r="AK320" s="235"/>
      <c r="AL320" s="235"/>
      <c r="AM320" s="235"/>
      <c r="AN320" s="235"/>
      <c r="AO320" s="235"/>
      <c r="AP320" s="235"/>
      <c r="AQ320" s="235"/>
      <c r="AR320" s="235"/>
      <c r="AS320" s="235"/>
      <c r="AT320" s="235"/>
      <c r="AU320" s="235"/>
      <c r="AV320" s="235"/>
      <c r="AW320" s="235"/>
      <c r="AX320" s="235"/>
      <c r="AY320" s="235"/>
      <c r="AZ320" s="235"/>
      <c r="BA320" s="235"/>
    </row>
    <row r="321" spans="2:53" x14ac:dyDescent="0.25">
      <c r="B321" s="56"/>
      <c r="C321" s="56"/>
      <c r="D321" s="56"/>
      <c r="E321" s="121"/>
      <c r="F321" s="121"/>
      <c r="G321" s="235"/>
      <c r="H321" s="235"/>
      <c r="I321" s="235"/>
      <c r="J321" s="235"/>
      <c r="K321" s="235"/>
      <c r="L321" s="235"/>
      <c r="M321" s="235"/>
      <c r="N321" s="235"/>
      <c r="O321" s="235"/>
      <c r="P321" s="235"/>
      <c r="Q321" s="235"/>
      <c r="R321" s="235"/>
      <c r="S321" s="235"/>
      <c r="T321" s="235"/>
      <c r="U321" s="235"/>
      <c r="V321" s="235"/>
      <c r="W321" s="235"/>
      <c r="X321" s="235"/>
      <c r="Y321" s="235"/>
      <c r="Z321" s="235"/>
      <c r="AA321" s="241"/>
      <c r="AB321" s="241"/>
      <c r="AC321" s="121"/>
      <c r="AD321" s="121"/>
      <c r="AE321" s="121"/>
      <c r="AF321" s="121"/>
      <c r="AG321" s="121"/>
      <c r="AH321" s="235"/>
      <c r="AI321" s="235"/>
      <c r="AJ321" s="235"/>
      <c r="AK321" s="235"/>
      <c r="AL321" s="235"/>
      <c r="AM321" s="235"/>
      <c r="AN321" s="235"/>
      <c r="AO321" s="235"/>
      <c r="AP321" s="235"/>
      <c r="AQ321" s="235"/>
      <c r="AR321" s="235"/>
      <c r="AS321" s="235"/>
      <c r="AT321" s="235"/>
      <c r="AU321" s="235"/>
      <c r="AV321" s="235"/>
      <c r="AW321" s="235"/>
      <c r="AX321" s="235"/>
      <c r="AY321" s="235"/>
      <c r="AZ321" s="235"/>
      <c r="BA321" s="235"/>
    </row>
    <row r="322" spans="2:53" x14ac:dyDescent="0.25">
      <c r="B322" s="56"/>
      <c r="C322" s="56"/>
      <c r="D322" s="56"/>
      <c r="E322" s="121"/>
      <c r="F322" s="121"/>
      <c r="G322" s="235"/>
      <c r="H322" s="235"/>
      <c r="I322" s="235"/>
      <c r="J322" s="235"/>
      <c r="K322" s="235"/>
      <c r="L322" s="235"/>
      <c r="M322" s="235"/>
      <c r="N322" s="235"/>
      <c r="O322" s="235"/>
      <c r="P322" s="235"/>
      <c r="Q322" s="235"/>
      <c r="R322" s="235"/>
      <c r="S322" s="235"/>
      <c r="T322" s="235"/>
      <c r="U322" s="235"/>
      <c r="V322" s="235"/>
      <c r="W322" s="235"/>
      <c r="X322" s="235"/>
      <c r="Y322" s="235"/>
      <c r="Z322" s="235"/>
      <c r="AA322" s="241"/>
      <c r="AB322" s="241"/>
      <c r="AC322" s="121"/>
      <c r="AD322" s="121"/>
      <c r="AE322" s="121"/>
      <c r="AF322" s="121"/>
      <c r="AG322" s="121"/>
      <c r="AH322" s="235"/>
      <c r="AI322" s="235"/>
      <c r="AJ322" s="235"/>
      <c r="AK322" s="235"/>
      <c r="AL322" s="235"/>
      <c r="AM322" s="235"/>
      <c r="AN322" s="235"/>
      <c r="AO322" s="235"/>
      <c r="AP322" s="235"/>
      <c r="AQ322" s="235"/>
      <c r="AR322" s="235"/>
      <c r="AS322" s="235"/>
      <c r="AT322" s="235"/>
      <c r="AU322" s="235"/>
      <c r="AV322" s="235"/>
      <c r="AW322" s="235"/>
      <c r="AX322" s="235"/>
      <c r="AY322" s="235"/>
      <c r="AZ322" s="235"/>
      <c r="BA322" s="235"/>
    </row>
    <row r="323" spans="2:53" x14ac:dyDescent="0.25">
      <c r="B323" s="56"/>
      <c r="C323" s="56"/>
      <c r="D323" s="56"/>
      <c r="E323" s="121"/>
      <c r="F323" s="121"/>
      <c r="G323" s="235"/>
      <c r="H323" s="235"/>
      <c r="I323" s="235"/>
      <c r="J323" s="235"/>
      <c r="K323" s="235"/>
      <c r="L323" s="235"/>
      <c r="M323" s="235"/>
      <c r="N323" s="235"/>
      <c r="O323" s="235"/>
      <c r="P323" s="235"/>
      <c r="Q323" s="235"/>
      <c r="R323" s="235"/>
      <c r="S323" s="235"/>
      <c r="T323" s="235"/>
      <c r="U323" s="235"/>
      <c r="V323" s="235"/>
      <c r="W323" s="235"/>
      <c r="X323" s="235"/>
      <c r="Y323" s="235"/>
      <c r="Z323" s="235"/>
      <c r="AA323" s="241"/>
      <c r="AB323" s="241"/>
      <c r="AC323" s="121"/>
      <c r="AD323" s="121"/>
      <c r="AE323" s="121"/>
      <c r="AF323" s="121"/>
      <c r="AG323" s="121"/>
      <c r="AH323" s="235"/>
      <c r="AI323" s="235"/>
      <c r="AJ323" s="235"/>
      <c r="AK323" s="235"/>
      <c r="AL323" s="235"/>
      <c r="AM323" s="235"/>
      <c r="AN323" s="235"/>
      <c r="AO323" s="235"/>
      <c r="AP323" s="235"/>
      <c r="AQ323" s="235"/>
      <c r="AR323" s="235"/>
      <c r="AS323" s="235"/>
      <c r="AT323" s="235"/>
      <c r="AU323" s="235"/>
      <c r="AV323" s="235"/>
      <c r="AW323" s="235"/>
      <c r="AX323" s="235"/>
      <c r="AY323" s="235"/>
      <c r="AZ323" s="235"/>
      <c r="BA323" s="235"/>
    </row>
    <row r="324" spans="2:53" x14ac:dyDescent="0.25">
      <c r="B324" s="56"/>
      <c r="C324" s="56"/>
      <c r="D324" s="56"/>
      <c r="E324" s="121"/>
      <c r="F324" s="121"/>
      <c r="G324" s="235"/>
      <c r="H324" s="235"/>
      <c r="I324" s="235"/>
      <c r="J324" s="235"/>
      <c r="K324" s="235"/>
      <c r="L324" s="235"/>
      <c r="M324" s="235"/>
      <c r="N324" s="235"/>
      <c r="O324" s="235"/>
      <c r="P324" s="235"/>
      <c r="Q324" s="235"/>
      <c r="R324" s="235"/>
      <c r="S324" s="235"/>
      <c r="T324" s="235"/>
      <c r="U324" s="235"/>
      <c r="V324" s="235"/>
      <c r="W324" s="235"/>
      <c r="X324" s="235"/>
      <c r="Y324" s="235"/>
      <c r="Z324" s="235"/>
      <c r="AA324" s="241"/>
      <c r="AB324" s="241"/>
      <c r="AC324" s="121"/>
      <c r="AD324" s="121"/>
      <c r="AE324" s="121"/>
      <c r="AF324" s="121"/>
      <c r="AG324" s="121"/>
      <c r="AH324" s="235"/>
      <c r="AI324" s="235"/>
      <c r="AJ324" s="235"/>
      <c r="AK324" s="235"/>
      <c r="AL324" s="235"/>
      <c r="AM324" s="235"/>
      <c r="AN324" s="235"/>
      <c r="AO324" s="235"/>
      <c r="AP324" s="235"/>
      <c r="AQ324" s="235"/>
      <c r="AR324" s="235"/>
      <c r="AS324" s="235"/>
      <c r="AT324" s="235"/>
      <c r="AU324" s="235"/>
      <c r="AV324" s="235"/>
      <c r="AW324" s="235"/>
      <c r="AX324" s="235"/>
      <c r="AY324" s="235"/>
      <c r="AZ324" s="235"/>
      <c r="BA324" s="235"/>
    </row>
    <row r="325" spans="2:53" x14ac:dyDescent="0.25">
      <c r="B325" s="56"/>
      <c r="C325" s="56"/>
      <c r="D325" s="56"/>
      <c r="E325" s="121"/>
      <c r="F325" s="121"/>
      <c r="G325" s="235"/>
      <c r="H325" s="235"/>
      <c r="I325" s="235"/>
      <c r="J325" s="235"/>
      <c r="K325" s="235"/>
      <c r="L325" s="235"/>
      <c r="M325" s="235"/>
      <c r="N325" s="235"/>
      <c r="O325" s="235"/>
      <c r="P325" s="235"/>
      <c r="Q325" s="235"/>
      <c r="R325" s="235"/>
      <c r="S325" s="235"/>
      <c r="T325" s="235"/>
      <c r="U325" s="235"/>
      <c r="V325" s="235"/>
      <c r="W325" s="235"/>
      <c r="X325" s="235"/>
      <c r="Y325" s="235"/>
      <c r="Z325" s="235"/>
      <c r="AA325" s="241"/>
      <c r="AB325" s="241"/>
      <c r="AC325" s="121"/>
      <c r="AD325" s="121"/>
      <c r="AE325" s="121"/>
      <c r="AF325" s="121"/>
      <c r="AG325" s="121"/>
      <c r="AH325" s="235"/>
      <c r="AI325" s="235"/>
      <c r="AJ325" s="235"/>
      <c r="AK325" s="235"/>
      <c r="AL325" s="235"/>
      <c r="AM325" s="235"/>
      <c r="AN325" s="235"/>
      <c r="AO325" s="235"/>
      <c r="AP325" s="235"/>
      <c r="AQ325" s="235"/>
      <c r="AR325" s="235"/>
      <c r="AS325" s="235"/>
      <c r="AT325" s="235"/>
      <c r="AU325" s="235"/>
      <c r="AV325" s="235"/>
      <c r="AW325" s="235"/>
      <c r="AX325" s="235"/>
      <c r="AY325" s="235"/>
      <c r="AZ325" s="235"/>
      <c r="BA325" s="235"/>
    </row>
    <row r="326" spans="2:53" x14ac:dyDescent="0.25">
      <c r="B326" s="56"/>
      <c r="C326" s="56"/>
      <c r="D326" s="56"/>
      <c r="E326" s="121"/>
      <c r="F326" s="121"/>
      <c r="G326" s="235"/>
      <c r="H326" s="235"/>
      <c r="I326" s="235"/>
      <c r="J326" s="235"/>
      <c r="K326" s="235"/>
      <c r="L326" s="235"/>
      <c r="M326" s="235"/>
      <c r="N326" s="235"/>
      <c r="O326" s="235"/>
      <c r="P326" s="235"/>
      <c r="Q326" s="235"/>
      <c r="R326" s="235"/>
      <c r="S326" s="235"/>
      <c r="T326" s="235"/>
      <c r="U326" s="235"/>
      <c r="V326" s="235"/>
      <c r="W326" s="235"/>
      <c r="X326" s="235"/>
      <c r="Y326" s="235"/>
      <c r="Z326" s="235"/>
      <c r="AA326" s="241"/>
      <c r="AB326" s="241"/>
      <c r="AC326" s="121"/>
      <c r="AD326" s="121"/>
      <c r="AE326" s="121"/>
      <c r="AF326" s="121"/>
      <c r="AG326" s="121"/>
      <c r="AH326" s="235"/>
      <c r="AI326" s="235"/>
      <c r="AJ326" s="235"/>
      <c r="AK326" s="235"/>
      <c r="AL326" s="235"/>
      <c r="AM326" s="235"/>
      <c r="AN326" s="235"/>
      <c r="AO326" s="235"/>
      <c r="AP326" s="235"/>
      <c r="AQ326" s="235"/>
      <c r="AR326" s="235"/>
      <c r="AS326" s="235"/>
      <c r="AT326" s="235"/>
      <c r="AU326" s="235"/>
      <c r="AV326" s="235"/>
      <c r="AW326" s="235"/>
      <c r="AX326" s="235"/>
      <c r="AY326" s="235"/>
      <c r="AZ326" s="235"/>
      <c r="BA326" s="235"/>
    </row>
    <row r="327" spans="2:53" x14ac:dyDescent="0.25">
      <c r="B327" s="56"/>
      <c r="C327" s="56"/>
      <c r="D327" s="56"/>
      <c r="E327" s="121"/>
      <c r="F327" s="121"/>
      <c r="G327" s="235"/>
      <c r="H327" s="235"/>
      <c r="I327" s="235"/>
      <c r="J327" s="235"/>
      <c r="K327" s="235"/>
      <c r="L327" s="235"/>
      <c r="M327" s="235"/>
      <c r="N327" s="235"/>
      <c r="O327" s="235"/>
      <c r="P327" s="235"/>
      <c r="Q327" s="235"/>
      <c r="R327" s="235"/>
      <c r="S327" s="235"/>
      <c r="T327" s="235"/>
      <c r="U327" s="235"/>
      <c r="V327" s="235"/>
      <c r="W327" s="235"/>
      <c r="X327" s="235"/>
      <c r="Y327" s="235"/>
      <c r="Z327" s="235"/>
      <c r="AA327" s="241"/>
      <c r="AB327" s="241"/>
      <c r="AC327" s="121"/>
      <c r="AD327" s="121"/>
      <c r="AE327" s="121"/>
      <c r="AF327" s="121"/>
      <c r="AG327" s="121"/>
      <c r="AH327" s="235"/>
      <c r="AI327" s="235"/>
      <c r="AJ327" s="235"/>
      <c r="AK327" s="235"/>
      <c r="AL327" s="235"/>
      <c r="AM327" s="235"/>
      <c r="AN327" s="235"/>
      <c r="AO327" s="235"/>
      <c r="AP327" s="235"/>
      <c r="AQ327" s="235"/>
      <c r="AR327" s="235"/>
      <c r="AS327" s="235"/>
      <c r="AT327" s="235"/>
      <c r="AU327" s="235"/>
      <c r="AV327" s="235"/>
      <c r="AW327" s="235"/>
      <c r="AX327" s="235"/>
      <c r="AY327" s="235"/>
      <c r="AZ327" s="235"/>
      <c r="BA327" s="235"/>
    </row>
    <row r="328" spans="2:53" x14ac:dyDescent="0.25">
      <c r="B328" s="56"/>
      <c r="C328" s="56"/>
      <c r="D328" s="56"/>
      <c r="E328" s="121"/>
      <c r="F328" s="121"/>
      <c r="G328" s="235"/>
      <c r="H328" s="235"/>
      <c r="I328" s="235"/>
      <c r="J328" s="235"/>
      <c r="K328" s="235"/>
      <c r="L328" s="235"/>
      <c r="M328" s="235"/>
      <c r="N328" s="235"/>
      <c r="O328" s="235"/>
      <c r="P328" s="235"/>
      <c r="Q328" s="235"/>
      <c r="R328" s="235"/>
      <c r="S328" s="235"/>
      <c r="T328" s="235"/>
      <c r="U328" s="235"/>
      <c r="V328" s="235"/>
      <c r="W328" s="235"/>
      <c r="X328" s="235"/>
      <c r="Y328" s="235"/>
      <c r="Z328" s="235"/>
      <c r="AA328" s="241"/>
      <c r="AB328" s="241"/>
      <c r="AC328" s="121"/>
      <c r="AD328" s="121"/>
      <c r="AE328" s="121"/>
      <c r="AF328" s="121"/>
      <c r="AG328" s="121"/>
      <c r="AH328" s="235"/>
      <c r="AI328" s="235"/>
      <c r="AJ328" s="235"/>
      <c r="AK328" s="235"/>
      <c r="AL328" s="235"/>
      <c r="AM328" s="235"/>
      <c r="AN328" s="235"/>
      <c r="AO328" s="235"/>
      <c r="AP328" s="235"/>
      <c r="AQ328" s="235"/>
      <c r="AR328" s="235"/>
      <c r="AS328" s="235"/>
      <c r="AT328" s="235"/>
      <c r="AU328" s="235"/>
      <c r="AV328" s="235"/>
      <c r="AW328" s="235"/>
      <c r="AX328" s="235"/>
      <c r="AY328" s="235"/>
      <c r="AZ328" s="235"/>
      <c r="BA328" s="235"/>
    </row>
    <row r="329" spans="2:53" x14ac:dyDescent="0.25">
      <c r="B329" s="56"/>
      <c r="C329" s="56"/>
      <c r="D329" s="56"/>
      <c r="E329" s="121"/>
      <c r="F329" s="121"/>
      <c r="G329" s="235"/>
      <c r="H329" s="235"/>
      <c r="I329" s="235"/>
      <c r="J329" s="235"/>
      <c r="K329" s="235"/>
      <c r="L329" s="235"/>
      <c r="M329" s="235"/>
      <c r="N329" s="235"/>
      <c r="O329" s="235"/>
      <c r="P329" s="235"/>
      <c r="Q329" s="235"/>
      <c r="R329" s="235"/>
      <c r="S329" s="235"/>
      <c r="T329" s="235"/>
      <c r="U329" s="235"/>
      <c r="V329" s="235"/>
      <c r="W329" s="235"/>
      <c r="X329" s="235"/>
      <c r="Y329" s="235"/>
      <c r="Z329" s="235"/>
      <c r="AA329" s="241"/>
      <c r="AB329" s="241"/>
      <c r="AC329" s="121"/>
      <c r="AD329" s="121"/>
      <c r="AE329" s="121"/>
      <c r="AF329" s="121"/>
      <c r="AG329" s="121"/>
      <c r="AH329" s="235"/>
      <c r="AI329" s="235"/>
      <c r="AJ329" s="235"/>
      <c r="AK329" s="235"/>
      <c r="AL329" s="235"/>
      <c r="AM329" s="235"/>
      <c r="AN329" s="235"/>
      <c r="AO329" s="235"/>
      <c r="AP329" s="235"/>
      <c r="AQ329" s="235"/>
      <c r="AR329" s="235"/>
      <c r="AS329" s="235"/>
      <c r="AT329" s="235"/>
      <c r="AU329" s="235"/>
      <c r="AV329" s="235"/>
      <c r="AW329" s="235"/>
      <c r="AX329" s="235"/>
      <c r="AY329" s="235"/>
      <c r="AZ329" s="235"/>
      <c r="BA329" s="235"/>
    </row>
    <row r="330" spans="2:53" x14ac:dyDescent="0.25">
      <c r="B330" s="56"/>
      <c r="C330" s="56"/>
      <c r="D330" s="56"/>
      <c r="E330" s="121"/>
      <c r="F330" s="121"/>
      <c r="G330" s="235"/>
      <c r="H330" s="235"/>
      <c r="I330" s="235"/>
      <c r="J330" s="235"/>
      <c r="K330" s="235"/>
      <c r="L330" s="235"/>
      <c r="M330" s="235"/>
      <c r="N330" s="235"/>
      <c r="O330" s="235"/>
      <c r="P330" s="235"/>
      <c r="Q330" s="235"/>
      <c r="R330" s="235"/>
      <c r="S330" s="235"/>
      <c r="T330" s="235"/>
      <c r="U330" s="235"/>
      <c r="V330" s="235"/>
      <c r="W330" s="235"/>
      <c r="X330" s="235"/>
      <c r="Y330" s="235"/>
      <c r="Z330" s="235"/>
      <c r="AA330" s="241"/>
      <c r="AB330" s="241"/>
      <c r="AC330" s="121"/>
      <c r="AD330" s="121"/>
      <c r="AE330" s="121"/>
      <c r="AF330" s="121"/>
      <c r="AG330" s="121"/>
      <c r="AH330" s="235"/>
      <c r="AI330" s="235"/>
      <c r="AJ330" s="235"/>
      <c r="AK330" s="235"/>
      <c r="AL330" s="235"/>
      <c r="AM330" s="235"/>
      <c r="AN330" s="235"/>
      <c r="AO330" s="235"/>
      <c r="AP330" s="235"/>
      <c r="AQ330" s="235"/>
      <c r="AR330" s="235"/>
      <c r="AS330" s="235"/>
      <c r="AT330" s="235"/>
      <c r="AU330" s="235"/>
      <c r="AV330" s="235"/>
      <c r="AW330" s="235"/>
      <c r="AX330" s="235"/>
      <c r="AY330" s="235"/>
      <c r="AZ330" s="235"/>
      <c r="BA330" s="235"/>
    </row>
    <row r="331" spans="2:53" x14ac:dyDescent="0.25">
      <c r="B331" s="56"/>
      <c r="C331" s="56"/>
      <c r="D331" s="56"/>
      <c r="E331" s="121"/>
      <c r="F331" s="121"/>
      <c r="G331" s="235"/>
      <c r="H331" s="235"/>
      <c r="I331" s="235"/>
      <c r="J331" s="235"/>
      <c r="K331" s="235"/>
      <c r="L331" s="235"/>
      <c r="M331" s="235"/>
      <c r="N331" s="235"/>
      <c r="O331" s="235"/>
      <c r="P331" s="235"/>
      <c r="Q331" s="235"/>
      <c r="R331" s="235"/>
      <c r="S331" s="235"/>
      <c r="T331" s="235"/>
      <c r="U331" s="235"/>
      <c r="V331" s="235"/>
      <c r="W331" s="235"/>
      <c r="X331" s="235"/>
      <c r="Y331" s="235"/>
      <c r="Z331" s="235"/>
      <c r="AA331" s="241"/>
      <c r="AB331" s="241"/>
      <c r="AC331" s="121"/>
      <c r="AD331" s="121"/>
      <c r="AE331" s="121"/>
      <c r="AF331" s="121"/>
      <c r="AG331" s="121"/>
      <c r="AH331" s="235"/>
      <c r="AI331" s="235"/>
      <c r="AJ331" s="235"/>
      <c r="AK331" s="235"/>
      <c r="AL331" s="235"/>
      <c r="AM331" s="235"/>
      <c r="AN331" s="235"/>
      <c r="AO331" s="235"/>
      <c r="AP331" s="235"/>
      <c r="AQ331" s="235"/>
      <c r="AR331" s="235"/>
      <c r="AS331" s="235"/>
      <c r="AT331" s="235"/>
      <c r="AU331" s="235"/>
      <c r="AV331" s="235"/>
      <c r="AW331" s="235"/>
      <c r="AX331" s="235"/>
      <c r="AY331" s="235"/>
      <c r="AZ331" s="235"/>
      <c r="BA331" s="235"/>
    </row>
    <row r="332" spans="2:53" x14ac:dyDescent="0.25">
      <c r="B332" s="56"/>
      <c r="C332" s="56"/>
      <c r="D332" s="56"/>
      <c r="E332" s="121"/>
      <c r="F332" s="121"/>
      <c r="G332" s="235"/>
      <c r="H332" s="235"/>
      <c r="I332" s="235"/>
      <c r="J332" s="235"/>
      <c r="K332" s="235"/>
      <c r="L332" s="235"/>
      <c r="M332" s="235"/>
      <c r="N332" s="235"/>
      <c r="O332" s="235"/>
      <c r="P332" s="235"/>
      <c r="Q332" s="235"/>
      <c r="R332" s="235"/>
      <c r="S332" s="235"/>
      <c r="T332" s="235"/>
      <c r="U332" s="235"/>
      <c r="V332" s="235"/>
      <c r="W332" s="235"/>
      <c r="X332" s="235"/>
      <c r="Y332" s="235"/>
      <c r="Z332" s="235"/>
      <c r="AA332" s="241"/>
      <c r="AB332" s="241"/>
      <c r="AC332" s="121"/>
      <c r="AD332" s="121"/>
      <c r="AE332" s="121"/>
      <c r="AF332" s="121"/>
      <c r="AG332" s="121"/>
      <c r="AH332" s="235"/>
      <c r="AI332" s="235"/>
      <c r="AJ332" s="235"/>
      <c r="AK332" s="235"/>
      <c r="AL332" s="235"/>
      <c r="AM332" s="235"/>
      <c r="AN332" s="235"/>
      <c r="AO332" s="235"/>
      <c r="AP332" s="235"/>
      <c r="AQ332" s="235"/>
      <c r="AR332" s="235"/>
      <c r="AS332" s="235"/>
      <c r="AT332" s="235"/>
      <c r="AU332" s="235"/>
      <c r="AV332" s="235"/>
      <c r="AW332" s="235"/>
      <c r="AX332" s="235"/>
      <c r="AY332" s="235"/>
      <c r="AZ332" s="235"/>
      <c r="BA332" s="235"/>
    </row>
    <row r="333" spans="2:53" x14ac:dyDescent="0.25">
      <c r="B333" s="56"/>
      <c r="C333" s="56"/>
      <c r="D333" s="56"/>
      <c r="E333" s="121"/>
      <c r="F333" s="121"/>
      <c r="G333" s="235"/>
      <c r="H333" s="235"/>
      <c r="I333" s="235"/>
      <c r="J333" s="235"/>
      <c r="K333" s="235"/>
      <c r="L333" s="235"/>
      <c r="M333" s="235"/>
      <c r="N333" s="235"/>
      <c r="O333" s="235"/>
      <c r="P333" s="235"/>
      <c r="Q333" s="235"/>
      <c r="R333" s="235"/>
      <c r="S333" s="235"/>
      <c r="T333" s="235"/>
      <c r="U333" s="235"/>
      <c r="V333" s="235"/>
      <c r="W333" s="235"/>
      <c r="X333" s="235"/>
      <c r="Y333" s="235"/>
      <c r="Z333" s="235"/>
      <c r="AA333" s="241"/>
      <c r="AB333" s="241"/>
      <c r="AC333" s="121"/>
      <c r="AD333" s="121"/>
      <c r="AE333" s="121"/>
      <c r="AF333" s="121"/>
      <c r="AG333" s="121"/>
      <c r="AH333" s="235"/>
      <c r="AI333" s="235"/>
      <c r="AJ333" s="235"/>
      <c r="AK333" s="235"/>
      <c r="AL333" s="235"/>
      <c r="AM333" s="235"/>
      <c r="AN333" s="235"/>
      <c r="AO333" s="235"/>
      <c r="AP333" s="235"/>
      <c r="AQ333" s="235"/>
      <c r="AR333" s="235"/>
      <c r="AS333" s="235"/>
      <c r="AT333" s="235"/>
      <c r="AU333" s="235"/>
      <c r="AV333" s="235"/>
      <c r="AW333" s="235"/>
      <c r="AX333" s="235"/>
      <c r="AY333" s="235"/>
      <c r="AZ333" s="235"/>
      <c r="BA333" s="235"/>
    </row>
    <row r="334" spans="2:53" x14ac:dyDescent="0.25">
      <c r="B334" s="56"/>
      <c r="C334" s="56"/>
      <c r="D334" s="56"/>
      <c r="E334" s="121"/>
      <c r="F334" s="121"/>
      <c r="G334" s="235"/>
      <c r="H334" s="235"/>
      <c r="I334" s="235"/>
      <c r="J334" s="235"/>
      <c r="K334" s="235"/>
      <c r="L334" s="235"/>
      <c r="M334" s="235"/>
      <c r="N334" s="235"/>
      <c r="O334" s="235"/>
      <c r="P334" s="235"/>
      <c r="Q334" s="235"/>
      <c r="R334" s="235"/>
      <c r="S334" s="235"/>
      <c r="T334" s="235"/>
      <c r="U334" s="235"/>
      <c r="V334" s="235"/>
      <c r="W334" s="235"/>
      <c r="X334" s="235"/>
      <c r="Y334" s="235"/>
      <c r="Z334" s="235"/>
      <c r="AA334" s="241"/>
      <c r="AB334" s="241"/>
      <c r="AC334" s="121"/>
      <c r="AD334" s="121"/>
      <c r="AE334" s="121"/>
      <c r="AF334" s="121"/>
      <c r="AG334" s="121"/>
      <c r="AH334" s="235"/>
      <c r="AI334" s="235"/>
      <c r="AJ334" s="235"/>
      <c r="AK334" s="235"/>
      <c r="AL334" s="235"/>
      <c r="AM334" s="235"/>
      <c r="AN334" s="235"/>
      <c r="AO334" s="235"/>
      <c r="AP334" s="235"/>
      <c r="AQ334" s="235"/>
      <c r="AR334" s="235"/>
      <c r="AS334" s="235"/>
      <c r="AT334" s="235"/>
      <c r="AU334" s="235"/>
      <c r="AV334" s="235"/>
      <c r="AW334" s="235"/>
      <c r="AX334" s="235"/>
      <c r="AY334" s="235"/>
      <c r="AZ334" s="235"/>
      <c r="BA334" s="235"/>
    </row>
    <row r="335" spans="2:53" x14ac:dyDescent="0.25">
      <c r="B335" s="56"/>
      <c r="C335" s="56"/>
      <c r="D335" s="56"/>
      <c r="E335" s="121"/>
      <c r="F335" s="121"/>
      <c r="G335" s="235"/>
      <c r="H335" s="235"/>
      <c r="I335" s="235"/>
      <c r="J335" s="235"/>
      <c r="K335" s="235"/>
      <c r="L335" s="235"/>
      <c r="M335" s="235"/>
      <c r="N335" s="235"/>
      <c r="O335" s="235"/>
      <c r="P335" s="235"/>
      <c r="Q335" s="235"/>
      <c r="R335" s="235"/>
      <c r="S335" s="235"/>
      <c r="T335" s="235"/>
      <c r="U335" s="235"/>
      <c r="V335" s="235"/>
      <c r="W335" s="235"/>
      <c r="X335" s="235"/>
      <c r="Y335" s="235"/>
      <c r="Z335" s="235"/>
      <c r="AA335" s="241"/>
      <c r="AB335" s="241"/>
      <c r="AC335" s="121"/>
      <c r="AD335" s="121"/>
      <c r="AE335" s="121"/>
      <c r="AF335" s="121"/>
      <c r="AG335" s="121"/>
      <c r="AH335" s="235"/>
      <c r="AI335" s="235"/>
      <c r="AJ335" s="235"/>
      <c r="AK335" s="235"/>
      <c r="AL335" s="235"/>
      <c r="AM335" s="235"/>
      <c r="AN335" s="235"/>
      <c r="AO335" s="235"/>
      <c r="AP335" s="235"/>
      <c r="AQ335" s="235"/>
      <c r="AR335" s="235"/>
      <c r="AS335" s="235"/>
      <c r="AT335" s="235"/>
      <c r="AU335" s="235"/>
      <c r="AV335" s="235"/>
      <c r="AW335" s="235"/>
      <c r="AX335" s="235"/>
      <c r="AY335" s="235"/>
      <c r="AZ335" s="235"/>
      <c r="BA335" s="235"/>
    </row>
    <row r="336" spans="2:53" x14ac:dyDescent="0.25">
      <c r="B336" s="56"/>
      <c r="C336" s="56"/>
      <c r="D336" s="56"/>
      <c r="E336" s="121"/>
      <c r="F336" s="121"/>
      <c r="G336" s="235"/>
      <c r="H336" s="235"/>
      <c r="I336" s="235"/>
      <c r="J336" s="235"/>
      <c r="K336" s="235"/>
      <c r="L336" s="235"/>
      <c r="M336" s="235"/>
      <c r="N336" s="235"/>
      <c r="O336" s="235"/>
      <c r="P336" s="235"/>
      <c r="Q336" s="235"/>
      <c r="R336" s="235"/>
      <c r="S336" s="235"/>
      <c r="T336" s="235"/>
      <c r="U336" s="235"/>
      <c r="V336" s="235"/>
      <c r="W336" s="235"/>
      <c r="X336" s="235"/>
      <c r="Y336" s="235"/>
      <c r="Z336" s="235"/>
      <c r="AA336" s="241"/>
      <c r="AB336" s="241"/>
      <c r="AC336" s="121"/>
      <c r="AD336" s="121"/>
      <c r="AE336" s="121"/>
      <c r="AF336" s="121"/>
      <c r="AG336" s="121"/>
      <c r="AH336" s="235"/>
      <c r="AI336" s="235"/>
      <c r="AJ336" s="235"/>
      <c r="AK336" s="235"/>
      <c r="AL336" s="235"/>
      <c r="AM336" s="235"/>
      <c r="AN336" s="235"/>
      <c r="AO336" s="235"/>
      <c r="AP336" s="235"/>
      <c r="AQ336" s="235"/>
      <c r="AR336" s="235"/>
      <c r="AS336" s="235"/>
      <c r="AT336" s="235"/>
      <c r="AU336" s="235"/>
      <c r="AV336" s="235"/>
      <c r="AW336" s="235"/>
      <c r="AX336" s="235"/>
      <c r="AY336" s="235"/>
      <c r="AZ336" s="235"/>
      <c r="BA336" s="235"/>
    </row>
    <row r="337" spans="2:53" x14ac:dyDescent="0.25">
      <c r="B337" s="56"/>
      <c r="C337" s="56"/>
      <c r="D337" s="56"/>
      <c r="E337" s="121"/>
      <c r="F337" s="121"/>
      <c r="G337" s="235"/>
      <c r="H337" s="235"/>
      <c r="I337" s="235"/>
      <c r="J337" s="235"/>
      <c r="K337" s="235"/>
      <c r="L337" s="235"/>
      <c r="M337" s="235"/>
      <c r="N337" s="235"/>
      <c r="O337" s="235"/>
      <c r="P337" s="235"/>
      <c r="Q337" s="235"/>
      <c r="R337" s="235"/>
      <c r="S337" s="235"/>
      <c r="T337" s="235"/>
      <c r="U337" s="235"/>
      <c r="V337" s="235"/>
      <c r="W337" s="235"/>
      <c r="X337" s="235"/>
      <c r="Y337" s="235"/>
      <c r="Z337" s="235"/>
      <c r="AA337" s="241"/>
      <c r="AB337" s="241"/>
      <c r="AC337" s="121"/>
      <c r="AD337" s="121"/>
      <c r="AE337" s="121"/>
      <c r="AF337" s="121"/>
      <c r="AG337" s="121"/>
      <c r="AH337" s="235"/>
      <c r="AI337" s="235"/>
      <c r="AJ337" s="235"/>
      <c r="AK337" s="235"/>
      <c r="AL337" s="235"/>
      <c r="AM337" s="235"/>
      <c r="AN337" s="235"/>
      <c r="AO337" s="235"/>
      <c r="AP337" s="235"/>
      <c r="AQ337" s="235"/>
      <c r="AR337" s="235"/>
      <c r="AS337" s="235"/>
      <c r="AT337" s="235"/>
      <c r="AU337" s="235"/>
      <c r="AV337" s="235"/>
      <c r="AW337" s="235"/>
      <c r="AX337" s="235"/>
      <c r="AY337" s="235"/>
      <c r="AZ337" s="235"/>
      <c r="BA337" s="235"/>
    </row>
    <row r="338" spans="2:53" x14ac:dyDescent="0.25">
      <c r="B338" s="56"/>
      <c r="C338" s="56"/>
      <c r="D338" s="56"/>
      <c r="E338" s="121"/>
      <c r="F338" s="121"/>
      <c r="G338" s="235"/>
      <c r="H338" s="235"/>
      <c r="I338" s="235"/>
      <c r="J338" s="235"/>
      <c r="K338" s="235"/>
      <c r="L338" s="235"/>
      <c r="M338" s="235"/>
      <c r="N338" s="235"/>
      <c r="O338" s="235"/>
      <c r="P338" s="235"/>
      <c r="Q338" s="235"/>
      <c r="R338" s="235"/>
      <c r="S338" s="235"/>
      <c r="T338" s="235"/>
      <c r="U338" s="235"/>
      <c r="V338" s="235"/>
      <c r="W338" s="235"/>
      <c r="X338" s="235"/>
      <c r="Y338" s="235"/>
      <c r="Z338" s="235"/>
      <c r="AA338" s="241"/>
      <c r="AB338" s="241"/>
      <c r="AC338" s="121"/>
      <c r="AD338" s="121"/>
      <c r="AE338" s="121"/>
      <c r="AF338" s="121"/>
      <c r="AG338" s="121"/>
      <c r="AH338" s="235"/>
      <c r="AI338" s="235"/>
      <c r="AJ338" s="235"/>
      <c r="AK338" s="235"/>
      <c r="AL338" s="235"/>
      <c r="AM338" s="235"/>
      <c r="AN338" s="235"/>
      <c r="AO338" s="235"/>
      <c r="AP338" s="235"/>
      <c r="AQ338" s="235"/>
      <c r="AR338" s="235"/>
      <c r="AS338" s="235"/>
      <c r="AT338" s="235"/>
      <c r="AU338" s="235"/>
      <c r="AV338" s="235"/>
      <c r="AW338" s="235"/>
      <c r="AX338" s="235"/>
      <c r="AY338" s="235"/>
      <c r="AZ338" s="235"/>
      <c r="BA338" s="235"/>
    </row>
    <row r="339" spans="2:53" x14ac:dyDescent="0.25">
      <c r="B339" s="56"/>
      <c r="C339" s="56"/>
      <c r="D339" s="56"/>
      <c r="E339" s="121"/>
      <c r="F339" s="121"/>
      <c r="G339" s="235"/>
      <c r="H339" s="235"/>
      <c r="I339" s="235"/>
      <c r="J339" s="235"/>
      <c r="K339" s="235"/>
      <c r="L339" s="235"/>
      <c r="M339" s="235"/>
      <c r="N339" s="235"/>
      <c r="O339" s="235"/>
      <c r="P339" s="235"/>
      <c r="Q339" s="235"/>
      <c r="R339" s="235"/>
      <c r="S339" s="235"/>
      <c r="T339" s="235"/>
      <c r="U339" s="235"/>
      <c r="V339" s="235"/>
      <c r="W339" s="235"/>
      <c r="X339" s="235"/>
      <c r="Y339" s="235"/>
      <c r="Z339" s="235"/>
      <c r="AA339" s="241"/>
      <c r="AB339" s="241"/>
      <c r="AC339" s="121"/>
      <c r="AD339" s="121"/>
      <c r="AE339" s="121"/>
      <c r="AF339" s="121"/>
      <c r="AG339" s="121"/>
      <c r="AH339" s="235"/>
      <c r="AI339" s="235"/>
      <c r="AJ339" s="235"/>
      <c r="AK339" s="235"/>
      <c r="AL339" s="235"/>
      <c r="AM339" s="235"/>
      <c r="AN339" s="235"/>
      <c r="AO339" s="235"/>
      <c r="AP339" s="235"/>
      <c r="AQ339" s="235"/>
      <c r="AR339" s="235"/>
      <c r="AS339" s="235"/>
      <c r="AT339" s="235"/>
      <c r="AU339" s="235"/>
      <c r="AV339" s="235"/>
      <c r="AW339" s="235"/>
      <c r="AX339" s="235"/>
      <c r="AY339" s="235"/>
      <c r="AZ339" s="235"/>
      <c r="BA339" s="235"/>
    </row>
    <row r="340" spans="2:53" x14ac:dyDescent="0.25">
      <c r="B340" s="56"/>
      <c r="C340" s="56"/>
      <c r="D340" s="56"/>
      <c r="E340" s="121"/>
      <c r="F340" s="121"/>
      <c r="G340" s="235"/>
      <c r="H340" s="235"/>
      <c r="I340" s="235"/>
      <c r="J340" s="235"/>
      <c r="K340" s="235"/>
      <c r="L340" s="235"/>
      <c r="M340" s="235"/>
      <c r="N340" s="235"/>
      <c r="O340" s="235"/>
      <c r="P340" s="235"/>
      <c r="Q340" s="235"/>
      <c r="R340" s="235"/>
      <c r="S340" s="235"/>
      <c r="T340" s="235"/>
      <c r="U340" s="235"/>
      <c r="V340" s="235"/>
      <c r="W340" s="235"/>
      <c r="X340" s="235"/>
      <c r="Y340" s="235"/>
      <c r="Z340" s="235"/>
      <c r="AA340" s="241"/>
      <c r="AB340" s="241"/>
      <c r="AC340" s="121"/>
      <c r="AD340" s="121"/>
      <c r="AE340" s="121"/>
      <c r="AF340" s="121"/>
      <c r="AG340" s="121"/>
      <c r="AH340" s="235"/>
      <c r="AI340" s="235"/>
      <c r="AJ340" s="235"/>
      <c r="AK340" s="235"/>
      <c r="AL340" s="235"/>
      <c r="AM340" s="235"/>
      <c r="AN340" s="235"/>
      <c r="AO340" s="235"/>
      <c r="AP340" s="235"/>
      <c r="AQ340" s="235"/>
      <c r="AR340" s="235"/>
      <c r="AS340" s="235"/>
      <c r="AT340" s="235"/>
      <c r="AU340" s="235"/>
      <c r="AV340" s="235"/>
      <c r="AW340" s="235"/>
      <c r="AX340" s="235"/>
      <c r="AY340" s="235"/>
      <c r="AZ340" s="235"/>
      <c r="BA340" s="235"/>
    </row>
    <row r="341" spans="2:53" x14ac:dyDescent="0.25">
      <c r="B341" s="55"/>
      <c r="C341" s="238"/>
      <c r="D341" s="238"/>
      <c r="E341" s="238"/>
      <c r="F341" s="238"/>
      <c r="G341" s="239"/>
      <c r="H341" s="239"/>
      <c r="I341" s="239"/>
      <c r="J341" s="239"/>
      <c r="K341" s="239"/>
      <c r="L341" s="239"/>
      <c r="M341" s="239"/>
      <c r="N341" s="239"/>
      <c r="O341" s="239"/>
      <c r="P341" s="239"/>
      <c r="Q341" s="239"/>
      <c r="R341" s="239"/>
      <c r="S341" s="239"/>
      <c r="T341" s="239"/>
      <c r="U341" s="239"/>
      <c r="V341" s="239"/>
      <c r="W341" s="239"/>
      <c r="X341" s="239"/>
      <c r="Y341" s="239"/>
      <c r="Z341" s="239"/>
      <c r="AA341" s="54"/>
      <c r="AB341" s="54"/>
      <c r="AC341" s="55"/>
      <c r="AD341" s="238"/>
      <c r="AE341" s="238"/>
      <c r="AF341" s="238"/>
      <c r="AG341" s="238"/>
      <c r="AH341" s="239"/>
      <c r="AI341" s="239"/>
      <c r="AJ341" s="239"/>
      <c r="AK341" s="239"/>
      <c r="AL341" s="239"/>
      <c r="AM341" s="239"/>
      <c r="AN341" s="239"/>
      <c r="AO341" s="239"/>
      <c r="AP341" s="239"/>
      <c r="AQ341" s="239"/>
      <c r="AR341" s="239"/>
      <c r="AS341" s="239"/>
      <c r="AT341" s="239"/>
      <c r="AU341" s="239"/>
      <c r="AV341" s="239"/>
      <c r="AW341" s="239"/>
      <c r="AX341" s="239"/>
      <c r="AY341" s="239"/>
      <c r="AZ341" s="239"/>
      <c r="BA341" s="239"/>
    </row>
    <row r="342" spans="2:53" x14ac:dyDescent="0.25">
      <c r="B342" s="55"/>
      <c r="C342" s="56"/>
      <c r="D342" s="56"/>
      <c r="E342" s="56"/>
      <c r="F342" s="56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54"/>
      <c r="AB342" s="54"/>
      <c r="AC342" s="55"/>
      <c r="AD342" s="56"/>
      <c r="AE342" s="56"/>
      <c r="AF342" s="56"/>
      <c r="AG342" s="56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</row>
    <row r="343" spans="2:53" x14ac:dyDescent="0.25">
      <c r="B343" s="55"/>
      <c r="C343" s="56"/>
      <c r="D343" s="56"/>
      <c r="E343" s="56"/>
      <c r="F343" s="56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54"/>
      <c r="AB343" s="54"/>
      <c r="AC343" s="55"/>
      <c r="AD343" s="56"/>
      <c r="AE343" s="56"/>
      <c r="AF343" s="56"/>
      <c r="AG343" s="56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</row>
    <row r="344" spans="2:53" x14ac:dyDescent="0.25">
      <c r="B344" s="55"/>
      <c r="C344" s="56"/>
      <c r="D344" s="56"/>
      <c r="E344" s="56"/>
      <c r="F344" s="56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54"/>
      <c r="AB344" s="54"/>
      <c r="AC344" s="55"/>
      <c r="AD344" s="56"/>
      <c r="AE344" s="56"/>
      <c r="AF344" s="56"/>
      <c r="AG344" s="56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</row>
    <row r="345" spans="2:53" x14ac:dyDescent="0.25">
      <c r="B345" s="55"/>
      <c r="C345" s="56"/>
      <c r="D345" s="56"/>
      <c r="E345" s="56"/>
      <c r="F345" s="56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54"/>
      <c r="AB345" s="54"/>
      <c r="AC345" s="55"/>
      <c r="AD345" s="56"/>
      <c r="AE345" s="56"/>
      <c r="AF345" s="56"/>
      <c r="AG345" s="56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</row>
    <row r="346" spans="2:53" x14ac:dyDescent="0.25">
      <c r="B346" s="55"/>
      <c r="C346" s="56"/>
      <c r="D346" s="56"/>
      <c r="E346" s="56"/>
      <c r="F346" s="56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54"/>
      <c r="AB346" s="54"/>
      <c r="AC346" s="55"/>
      <c r="AD346" s="56"/>
      <c r="AE346" s="56"/>
      <c r="AF346" s="56"/>
      <c r="AG346" s="56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</row>
    <row r="347" spans="2:53" x14ac:dyDescent="0.25">
      <c r="B347" s="55"/>
      <c r="C347" s="56"/>
      <c r="D347" s="56"/>
      <c r="E347" s="56"/>
      <c r="F347" s="56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54"/>
      <c r="AB347" s="54"/>
      <c r="AC347" s="55"/>
      <c r="AD347" s="56"/>
      <c r="AE347" s="56"/>
      <c r="AF347" s="56"/>
      <c r="AG347" s="56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</row>
    <row r="348" spans="2:53" x14ac:dyDescent="0.25">
      <c r="B348" s="55"/>
      <c r="C348" s="56"/>
      <c r="D348" s="56"/>
      <c r="E348" s="56"/>
      <c r="F348" s="56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54"/>
      <c r="AB348" s="54"/>
      <c r="AC348" s="55"/>
      <c r="AD348" s="56"/>
      <c r="AE348" s="56"/>
      <c r="AF348" s="56"/>
      <c r="AG348" s="56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</row>
    <row r="349" spans="2:53" x14ac:dyDescent="0.25">
      <c r="B349" s="55"/>
      <c r="C349" s="56"/>
      <c r="D349" s="56"/>
      <c r="E349" s="56"/>
      <c r="F349" s="56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54"/>
      <c r="AB349" s="54"/>
      <c r="AC349" s="55"/>
      <c r="AD349" s="56"/>
      <c r="AE349" s="56"/>
      <c r="AF349" s="56"/>
      <c r="AG349" s="56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</row>
    <row r="350" spans="2:53" x14ac:dyDescent="0.25">
      <c r="B350" s="55"/>
      <c r="C350" s="56"/>
      <c r="D350" s="56"/>
      <c r="E350" s="56"/>
      <c r="F350" s="56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54"/>
      <c r="AB350" s="54"/>
      <c r="AC350" s="55"/>
      <c r="AD350" s="56"/>
      <c r="AE350" s="56"/>
      <c r="AF350" s="56"/>
      <c r="AG350" s="56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</row>
    <row r="351" spans="2:53" x14ac:dyDescent="0.25">
      <c r="B351" s="55"/>
      <c r="C351" s="56"/>
      <c r="D351" s="56"/>
      <c r="E351" s="56"/>
      <c r="F351" s="56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54"/>
      <c r="AB351" s="54"/>
      <c r="AC351" s="55"/>
      <c r="AD351" s="56"/>
      <c r="AE351" s="56"/>
      <c r="AF351" s="56"/>
      <c r="AG351" s="56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</row>
    <row r="352" spans="2:53" x14ac:dyDescent="0.25">
      <c r="B352" s="55"/>
      <c r="C352" s="56"/>
      <c r="D352" s="56"/>
      <c r="E352" s="56"/>
      <c r="F352" s="56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54"/>
      <c r="AB352" s="54"/>
      <c r="AC352" s="55"/>
      <c r="AD352" s="56"/>
      <c r="AE352" s="56"/>
      <c r="AF352" s="56"/>
      <c r="AG352" s="56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</row>
    <row r="353" spans="2:53" x14ac:dyDescent="0.25">
      <c r="B353" s="55"/>
      <c r="C353" s="56"/>
      <c r="D353" s="56"/>
      <c r="E353" s="56"/>
      <c r="F353" s="56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54"/>
      <c r="AB353" s="54"/>
      <c r="AC353" s="55"/>
      <c r="AD353" s="56"/>
      <c r="AE353" s="56"/>
      <c r="AF353" s="56"/>
      <c r="AG353" s="56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</row>
    <row r="354" spans="2:53" x14ac:dyDescent="0.25">
      <c r="B354" s="55"/>
      <c r="C354" s="56"/>
      <c r="D354" s="56"/>
      <c r="E354" s="56"/>
      <c r="F354" s="56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54"/>
      <c r="AB354" s="54"/>
      <c r="AC354" s="55"/>
      <c r="AD354" s="56"/>
      <c r="AE354" s="56"/>
      <c r="AF354" s="56"/>
      <c r="AG354" s="56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</row>
    <row r="355" spans="2:53" x14ac:dyDescent="0.25">
      <c r="B355" s="55"/>
      <c r="C355" s="56"/>
      <c r="D355" s="56"/>
      <c r="E355" s="56"/>
      <c r="F355" s="56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54"/>
      <c r="AB355" s="54"/>
      <c r="AC355" s="55"/>
      <c r="AD355" s="56"/>
      <c r="AE355" s="56"/>
      <c r="AF355" s="56"/>
      <c r="AG355" s="56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</row>
    <row r="356" spans="2:53" x14ac:dyDescent="0.25">
      <c r="B356" s="55"/>
      <c r="C356" s="56"/>
      <c r="D356" s="56"/>
      <c r="E356" s="56"/>
      <c r="F356" s="56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54"/>
      <c r="AB356" s="54"/>
      <c r="AC356" s="55"/>
      <c r="AD356" s="56"/>
      <c r="AE356" s="56"/>
      <c r="AF356" s="56"/>
      <c r="AG356" s="56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</row>
    <row r="357" spans="2:53" x14ac:dyDescent="0.25">
      <c r="B357" s="55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4"/>
      <c r="AB357" s="54"/>
      <c r="AC357" s="55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</row>
    <row r="358" spans="2:53" x14ac:dyDescent="0.25">
      <c r="B358" s="55"/>
      <c r="C358" s="56"/>
      <c r="D358" s="56"/>
      <c r="E358" s="56"/>
      <c r="F358" s="56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54"/>
      <c r="AB358" s="54"/>
      <c r="AC358" s="55"/>
      <c r="AD358" s="56"/>
      <c r="AE358" s="56"/>
      <c r="AF358" s="56"/>
      <c r="AG358" s="56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</row>
    <row r="359" spans="2:53" x14ac:dyDescent="0.25">
      <c r="B359" s="55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4"/>
      <c r="AB359" s="54"/>
      <c r="AC359" s="55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</row>
    <row r="360" spans="2:53" x14ac:dyDescent="0.25">
      <c r="B360" s="55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4"/>
      <c r="AB360" s="54"/>
      <c r="AC360" s="55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</row>
    <row r="361" spans="2:53" x14ac:dyDescent="0.25">
      <c r="B361" s="55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4"/>
      <c r="AB361" s="54"/>
      <c r="AC361" s="55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</row>
    <row r="362" spans="2:53" x14ac:dyDescent="0.25">
      <c r="B362" s="55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4"/>
      <c r="AB362" s="54"/>
      <c r="AC362" s="55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</row>
    <row r="363" spans="2:53" x14ac:dyDescent="0.25">
      <c r="B363" s="55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4"/>
      <c r="AB363" s="54"/>
      <c r="AC363" s="55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</row>
    <row r="364" spans="2:53" x14ac:dyDescent="0.25">
      <c r="B364" s="55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4"/>
      <c r="AB364" s="54"/>
      <c r="AC364" s="55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</row>
    <row r="365" spans="2:53" x14ac:dyDescent="0.25">
      <c r="B365" s="55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4"/>
      <c r="AB365" s="54"/>
      <c r="AC365" s="55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</row>
    <row r="366" spans="2:53" x14ac:dyDescent="0.25">
      <c r="B366" s="55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4"/>
      <c r="AB366" s="54"/>
      <c r="AC366" s="55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</row>
    <row r="367" spans="2:53" x14ac:dyDescent="0.25">
      <c r="B367" s="55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4"/>
      <c r="AB367" s="54"/>
      <c r="AC367" s="55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</row>
    <row r="368" spans="2:53" x14ac:dyDescent="0.25">
      <c r="B368" s="55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4"/>
      <c r="AB368" s="54"/>
      <c r="AC368" s="55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</row>
    <row r="369" spans="2:53" x14ac:dyDescent="0.25">
      <c r="B369" s="55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4"/>
      <c r="AB369" s="54"/>
      <c r="AC369" s="55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</row>
    <row r="370" spans="2:53" x14ac:dyDescent="0.25">
      <c r="B370" s="55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4"/>
      <c r="AB370" s="54"/>
      <c r="AC370" s="55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</row>
    <row r="371" spans="2:53" x14ac:dyDescent="0.25">
      <c r="B371" s="55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4"/>
      <c r="AB371" s="54"/>
      <c r="AC371" s="55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</row>
    <row r="372" spans="2:53" x14ac:dyDescent="0.25">
      <c r="B372" s="55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4"/>
      <c r="AB372" s="54"/>
      <c r="AC372" s="55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</row>
    <row r="373" spans="2:53" x14ac:dyDescent="0.25">
      <c r="B373" s="55"/>
      <c r="C373" s="56"/>
      <c r="D373" s="56"/>
      <c r="E373" s="56"/>
      <c r="F373" s="56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54"/>
      <c r="AB373" s="54"/>
      <c r="AC373" s="55"/>
      <c r="AD373" s="56"/>
      <c r="AE373" s="56"/>
      <c r="AF373" s="56"/>
      <c r="AG373" s="56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</row>
    <row r="374" spans="2:53" x14ac:dyDescent="0.25">
      <c r="B374" s="55"/>
      <c r="C374" s="56"/>
      <c r="D374" s="56"/>
      <c r="E374" s="56"/>
      <c r="F374" s="56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54"/>
      <c r="AB374" s="54"/>
      <c r="AC374" s="55"/>
      <c r="AD374" s="56"/>
      <c r="AE374" s="56"/>
      <c r="AF374" s="56"/>
      <c r="AG374" s="56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</row>
    <row r="375" spans="2:53" x14ac:dyDescent="0.25">
      <c r="B375" s="55"/>
      <c r="C375" s="56"/>
      <c r="D375" s="56"/>
      <c r="E375" s="56"/>
      <c r="F375" s="56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54"/>
      <c r="AB375" s="54"/>
      <c r="AC375" s="55"/>
      <c r="AD375" s="56"/>
      <c r="AE375" s="56"/>
      <c r="AF375" s="56"/>
      <c r="AG375" s="56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</row>
    <row r="376" spans="2:53" x14ac:dyDescent="0.25">
      <c r="B376" s="55"/>
      <c r="C376" s="56"/>
      <c r="D376" s="56"/>
      <c r="E376" s="56"/>
      <c r="F376" s="56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54"/>
      <c r="AB376" s="54"/>
      <c r="AC376" s="55"/>
      <c r="AD376" s="56"/>
      <c r="AE376" s="56"/>
      <c r="AF376" s="56"/>
      <c r="AG376" s="56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</row>
    <row r="377" spans="2:53" x14ac:dyDescent="0.25">
      <c r="B377" s="55"/>
      <c r="C377" s="56"/>
      <c r="D377" s="56"/>
      <c r="E377" s="56"/>
      <c r="F377" s="56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54"/>
      <c r="AB377" s="54"/>
      <c r="AC377" s="55"/>
      <c r="AD377" s="56"/>
      <c r="AE377" s="56"/>
      <c r="AF377" s="56"/>
      <c r="AG377" s="56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</row>
    <row r="378" spans="2:53" x14ac:dyDescent="0.25">
      <c r="B378" s="55"/>
      <c r="C378" s="56"/>
      <c r="D378" s="56"/>
      <c r="E378" s="56"/>
      <c r="F378" s="56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54"/>
      <c r="AB378" s="54"/>
      <c r="AC378" s="55"/>
      <c r="AD378" s="56"/>
      <c r="AE378" s="56"/>
      <c r="AF378" s="56"/>
      <c r="AG378" s="56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</row>
    <row r="379" spans="2:53" x14ac:dyDescent="0.25">
      <c r="B379" s="55"/>
      <c r="C379" s="56"/>
      <c r="D379" s="56"/>
      <c r="E379" s="56"/>
      <c r="F379" s="56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54"/>
      <c r="AB379" s="54"/>
      <c r="AC379" s="55"/>
      <c r="AD379" s="56"/>
      <c r="AE379" s="56"/>
      <c r="AF379" s="56"/>
      <c r="AG379" s="56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</row>
    <row r="380" spans="2:53" x14ac:dyDescent="0.25">
      <c r="B380" s="55"/>
      <c r="C380" s="56"/>
      <c r="D380" s="56"/>
      <c r="E380" s="56"/>
      <c r="F380" s="56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54"/>
      <c r="AB380" s="54"/>
      <c r="AC380" s="55"/>
      <c r="AD380" s="56"/>
      <c r="AE380" s="56"/>
      <c r="AF380" s="56"/>
      <c r="AG380" s="56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</row>
    <row r="381" spans="2:53" x14ac:dyDescent="0.25">
      <c r="B381" s="55"/>
      <c r="C381" s="56"/>
      <c r="D381" s="56"/>
      <c r="E381" s="56"/>
      <c r="F381" s="56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54"/>
      <c r="AB381" s="54"/>
      <c r="AC381" s="55"/>
      <c r="AD381" s="56"/>
      <c r="AE381" s="56"/>
      <c r="AF381" s="56"/>
      <c r="AG381" s="56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</row>
    <row r="382" spans="2:53" x14ac:dyDescent="0.25">
      <c r="B382" s="55"/>
      <c r="C382" s="56"/>
      <c r="D382" s="56"/>
      <c r="E382" s="56"/>
      <c r="F382" s="56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54"/>
      <c r="AB382" s="54"/>
      <c r="AC382" s="55"/>
      <c r="AD382" s="56"/>
      <c r="AE382" s="56"/>
      <c r="AF382" s="56"/>
      <c r="AG382" s="56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</row>
    <row r="383" spans="2:53" x14ac:dyDescent="0.25">
      <c r="B383" s="55"/>
      <c r="C383" s="56"/>
      <c r="D383" s="56"/>
      <c r="E383" s="56"/>
      <c r="F383" s="56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54"/>
      <c r="AB383" s="54"/>
      <c r="AC383" s="55"/>
      <c r="AD383" s="56"/>
      <c r="AE383" s="56"/>
      <c r="AF383" s="56"/>
      <c r="AG383" s="56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</row>
    <row r="384" spans="2:53" x14ac:dyDescent="0.25">
      <c r="B384" s="55"/>
      <c r="C384" s="56"/>
      <c r="D384" s="56"/>
      <c r="E384" s="56"/>
      <c r="F384" s="56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54"/>
      <c r="AB384" s="54"/>
      <c r="AC384" s="55"/>
      <c r="AD384" s="56"/>
      <c r="AE384" s="56"/>
      <c r="AF384" s="56"/>
      <c r="AG384" s="56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</row>
    <row r="385" spans="2:53" x14ac:dyDescent="0.25">
      <c r="B385" s="55"/>
      <c r="C385" s="56"/>
      <c r="D385" s="56"/>
      <c r="E385" s="56"/>
      <c r="F385" s="56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54"/>
      <c r="AB385" s="54"/>
      <c r="AC385" s="55"/>
      <c r="AD385" s="56"/>
      <c r="AE385" s="56"/>
      <c r="AF385" s="56"/>
      <c r="AG385" s="56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</row>
    <row r="386" spans="2:53" x14ac:dyDescent="0.25">
      <c r="B386" s="55"/>
      <c r="C386" s="56"/>
      <c r="D386" s="56"/>
      <c r="E386" s="56"/>
      <c r="F386" s="56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54"/>
      <c r="AB386" s="54"/>
      <c r="AC386" s="55"/>
      <c r="AD386" s="56"/>
      <c r="AE386" s="56"/>
      <c r="AF386" s="56"/>
      <c r="AG386" s="56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</row>
    <row r="387" spans="2:53" x14ac:dyDescent="0.25">
      <c r="B387" s="55"/>
      <c r="C387" s="56"/>
      <c r="D387" s="56"/>
      <c r="E387" s="56"/>
      <c r="F387" s="56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54"/>
      <c r="AB387" s="54"/>
      <c r="AC387" s="55"/>
      <c r="AD387" s="56"/>
      <c r="AE387" s="56"/>
      <c r="AF387" s="56"/>
      <c r="AG387" s="56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</row>
    <row r="388" spans="2:53" x14ac:dyDescent="0.25">
      <c r="B388" s="55"/>
      <c r="C388" s="56"/>
      <c r="D388" s="56"/>
      <c r="E388" s="56"/>
      <c r="F388" s="56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54"/>
      <c r="AB388" s="54"/>
      <c r="AC388" s="55"/>
      <c r="AD388" s="56"/>
      <c r="AE388" s="56"/>
      <c r="AF388" s="56"/>
      <c r="AG388" s="56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</row>
    <row r="389" spans="2:53" x14ac:dyDescent="0.25">
      <c r="B389" s="55"/>
      <c r="C389" s="56"/>
      <c r="D389" s="56"/>
      <c r="E389" s="56"/>
      <c r="F389" s="56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54"/>
      <c r="AB389" s="54"/>
      <c r="AC389" s="55"/>
      <c r="AD389" s="56"/>
      <c r="AE389" s="56"/>
      <c r="AF389" s="56"/>
      <c r="AG389" s="56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</row>
    <row r="390" spans="2:53" x14ac:dyDescent="0.25">
      <c r="B390" s="55"/>
      <c r="C390" s="56"/>
      <c r="D390" s="56"/>
      <c r="E390" s="56"/>
      <c r="F390" s="56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54"/>
      <c r="AB390" s="54"/>
      <c r="AC390" s="55"/>
      <c r="AD390" s="56"/>
      <c r="AE390" s="56"/>
      <c r="AF390" s="56"/>
      <c r="AG390" s="56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</row>
    <row r="391" spans="2:53" x14ac:dyDescent="0.25">
      <c r="B391" s="55"/>
      <c r="C391" s="56"/>
      <c r="D391" s="56"/>
      <c r="E391" s="56"/>
      <c r="F391" s="56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54"/>
      <c r="AB391" s="54"/>
      <c r="AC391" s="55"/>
      <c r="AD391" s="56"/>
      <c r="AE391" s="56"/>
      <c r="AF391" s="56"/>
      <c r="AG391" s="56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</row>
    <row r="392" spans="2:53" x14ac:dyDescent="0.25">
      <c r="B392" s="55"/>
      <c r="C392" s="56"/>
      <c r="D392" s="56"/>
      <c r="E392" s="56"/>
      <c r="F392" s="56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54"/>
      <c r="AB392" s="54"/>
      <c r="AC392" s="55"/>
      <c r="AD392" s="56"/>
      <c r="AE392" s="56"/>
      <c r="AF392" s="56"/>
      <c r="AG392" s="56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</row>
    <row r="393" spans="2:53" x14ac:dyDescent="0.25">
      <c r="B393" s="55"/>
      <c r="C393" s="56"/>
      <c r="D393" s="56"/>
      <c r="E393" s="56"/>
      <c r="F393" s="56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54"/>
      <c r="AB393" s="54"/>
      <c r="AC393" s="55"/>
      <c r="AD393" s="56"/>
      <c r="AE393" s="56"/>
      <c r="AF393" s="56"/>
      <c r="AG393" s="56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</row>
    <row r="394" spans="2:53" x14ac:dyDescent="0.25">
      <c r="B394" s="55"/>
      <c r="C394" s="56"/>
      <c r="D394" s="56"/>
      <c r="E394" s="56"/>
      <c r="F394" s="56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54"/>
      <c r="AB394" s="54"/>
      <c r="AC394" s="55"/>
      <c r="AD394" s="56"/>
      <c r="AE394" s="56"/>
      <c r="AF394" s="56"/>
      <c r="AG394" s="56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</row>
    <row r="395" spans="2:53" x14ac:dyDescent="0.25">
      <c r="B395" s="55"/>
      <c r="C395" s="56"/>
      <c r="D395" s="56"/>
      <c r="E395" s="56"/>
      <c r="F395" s="56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54"/>
      <c r="AB395" s="54"/>
      <c r="AC395" s="55"/>
      <c r="AD395" s="56"/>
      <c r="AE395" s="56"/>
      <c r="AF395" s="56"/>
      <c r="AG395" s="56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</row>
    <row r="396" spans="2:53" x14ac:dyDescent="0.25">
      <c r="B396" s="55"/>
      <c r="C396" s="56"/>
      <c r="D396" s="56"/>
      <c r="E396" s="56"/>
      <c r="F396" s="56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54"/>
      <c r="AB396" s="54"/>
      <c r="AC396" s="55"/>
      <c r="AD396" s="56"/>
      <c r="AE396" s="56"/>
      <c r="AF396" s="56"/>
      <c r="AG396" s="56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</row>
    <row r="397" spans="2:53" x14ac:dyDescent="0.25">
      <c r="B397" s="55"/>
      <c r="C397" s="56"/>
      <c r="D397" s="56"/>
      <c r="E397" s="56"/>
      <c r="F397" s="56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54"/>
      <c r="AB397" s="54"/>
      <c r="AC397" s="55"/>
      <c r="AD397" s="56"/>
      <c r="AE397" s="56"/>
      <c r="AF397" s="56"/>
      <c r="AG397" s="56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</row>
    <row r="398" spans="2:53" x14ac:dyDescent="0.25">
      <c r="B398" s="55"/>
      <c r="C398" s="56"/>
      <c r="D398" s="56"/>
      <c r="E398" s="56"/>
      <c r="F398" s="56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54"/>
      <c r="AB398" s="54"/>
      <c r="AC398" s="55"/>
      <c r="AD398" s="56"/>
      <c r="AE398" s="56"/>
      <c r="AF398" s="56"/>
      <c r="AG398" s="56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</row>
    <row r="399" spans="2:53" x14ac:dyDescent="0.25">
      <c r="B399" s="55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184"/>
      <c r="AB399" s="184"/>
      <c r="AC399" s="55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</row>
    <row r="400" spans="2:53" x14ac:dyDescent="0.25">
      <c r="B400" s="55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184"/>
      <c r="AB400" s="184"/>
      <c r="AC400" s="55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</row>
    <row r="401" spans="2:53" x14ac:dyDescent="0.25">
      <c r="B401" s="55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184"/>
      <c r="AB401" s="184"/>
      <c r="AC401" s="55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</row>
    <row r="402" spans="2:53" x14ac:dyDescent="0.25">
      <c r="B402" s="55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184"/>
      <c r="AB402" s="184"/>
      <c r="AC402" s="55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</row>
    <row r="403" spans="2:53" x14ac:dyDescent="0.25">
      <c r="B403" s="55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184"/>
      <c r="AB403" s="184"/>
      <c r="AC403" s="55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</row>
    <row r="404" spans="2:53" x14ac:dyDescent="0.25">
      <c r="B404" s="55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184"/>
      <c r="AB404" s="184"/>
      <c r="AC404" s="55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</row>
    <row r="405" spans="2:53" x14ac:dyDescent="0.25">
      <c r="B405" s="55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184"/>
      <c r="AB405" s="184"/>
      <c r="AC405" s="55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</row>
    <row r="406" spans="2:53" x14ac:dyDescent="0.25">
      <c r="B406" s="55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184"/>
      <c r="AB406" s="184"/>
      <c r="AC406" s="55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</row>
    <row r="407" spans="2:53" x14ac:dyDescent="0.25">
      <c r="B407" s="55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184"/>
      <c r="AB407" s="184"/>
      <c r="AC407" s="55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</row>
    <row r="408" spans="2:53" x14ac:dyDescent="0.25">
      <c r="B408" s="55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184"/>
      <c r="AB408" s="184"/>
      <c r="AC408" s="55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</row>
    <row r="409" spans="2:53" x14ac:dyDescent="0.25">
      <c r="B409" s="55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184"/>
      <c r="AB409" s="184"/>
      <c r="AC409" s="55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</row>
    <row r="410" spans="2:53" x14ac:dyDescent="0.25">
      <c r="B410" s="55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184"/>
      <c r="AB410" s="184"/>
      <c r="AC410" s="55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</row>
    <row r="411" spans="2:53" x14ac:dyDescent="0.25">
      <c r="B411" s="55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184"/>
      <c r="AB411" s="184"/>
      <c r="AC411" s="55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</row>
    <row r="412" spans="2:53" x14ac:dyDescent="0.25">
      <c r="B412" s="55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184"/>
      <c r="AB412" s="184"/>
      <c r="AC412" s="55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</row>
    <row r="413" spans="2:53" x14ac:dyDescent="0.25">
      <c r="B413" s="55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184"/>
      <c r="AB413" s="184"/>
      <c r="AC413" s="55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</row>
    <row r="414" spans="2:53" x14ac:dyDescent="0.25">
      <c r="B414" s="55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184"/>
      <c r="AB414" s="184"/>
      <c r="AC414" s="55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</row>
    <row r="415" spans="2:53" x14ac:dyDescent="0.25">
      <c r="B415" s="55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184"/>
      <c r="AB415" s="184"/>
      <c r="AC415" s="55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</row>
    <row r="416" spans="2:53" x14ac:dyDescent="0.25">
      <c r="B416" s="55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184"/>
      <c r="AB416" s="184"/>
      <c r="AC416" s="55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</row>
    <row r="417" spans="2:53" x14ac:dyDescent="0.25">
      <c r="B417" s="55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184"/>
      <c r="AB417" s="184"/>
      <c r="AC417" s="55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</row>
    <row r="418" spans="2:53" x14ac:dyDescent="0.25">
      <c r="B418" s="55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184"/>
      <c r="AB418" s="184"/>
      <c r="AC418" s="55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</row>
    <row r="419" spans="2:53" x14ac:dyDescent="0.25">
      <c r="B419" s="55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184"/>
      <c r="AB419" s="184"/>
      <c r="AC419" s="55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</row>
    <row r="420" spans="2:53" x14ac:dyDescent="0.25">
      <c r="B420" s="55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184"/>
      <c r="AB420" s="184"/>
      <c r="AC420" s="55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</row>
    <row r="421" spans="2:53" x14ac:dyDescent="0.25">
      <c r="B421" s="55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184"/>
      <c r="AB421" s="184"/>
      <c r="AC421" s="55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</row>
    <row r="422" spans="2:53" x14ac:dyDescent="0.25">
      <c r="B422" s="55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184"/>
      <c r="AB422" s="184"/>
      <c r="AC422" s="55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</row>
    <row r="423" spans="2:53" x14ac:dyDescent="0.25">
      <c r="B423" s="55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184"/>
      <c r="AB423" s="184"/>
      <c r="AC423" s="55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</row>
    <row r="424" spans="2:53" x14ac:dyDescent="0.25">
      <c r="B424" s="55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184"/>
      <c r="AB424" s="184"/>
      <c r="AC424" s="55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</row>
    <row r="425" spans="2:53" x14ac:dyDescent="0.25">
      <c r="B425" s="55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184"/>
      <c r="AB425" s="184"/>
      <c r="AC425" s="55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</row>
    <row r="426" spans="2:53" x14ac:dyDescent="0.25">
      <c r="B426" s="55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184"/>
      <c r="AB426" s="184"/>
      <c r="AC426" s="55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</row>
    <row r="427" spans="2:53" x14ac:dyDescent="0.25">
      <c r="B427" s="55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184"/>
      <c r="AB427" s="184"/>
      <c r="AC427" s="55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</row>
    <row r="428" spans="2:53" x14ac:dyDescent="0.25">
      <c r="B428" s="55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184"/>
      <c r="AB428" s="184"/>
      <c r="AC428" s="55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</row>
    <row r="429" spans="2:53" x14ac:dyDescent="0.25">
      <c r="B429" s="55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184"/>
      <c r="AB429" s="184"/>
      <c r="AC429" s="55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</row>
    <row r="430" spans="2:53" x14ac:dyDescent="0.25">
      <c r="B430" s="55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184"/>
      <c r="AB430" s="184"/>
      <c r="AC430" s="55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</row>
    <row r="431" spans="2:53" x14ac:dyDescent="0.25">
      <c r="B431" s="55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184"/>
      <c r="AB431" s="184"/>
      <c r="AC431" s="55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</row>
    <row r="432" spans="2:53" x14ac:dyDescent="0.25">
      <c r="B432" s="55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184"/>
      <c r="AB432" s="184"/>
      <c r="AC432" s="55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</row>
    <row r="433" spans="2:53" x14ac:dyDescent="0.25">
      <c r="B433" s="55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184"/>
      <c r="AB433" s="184"/>
      <c r="AC433" s="55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</row>
    <row r="434" spans="2:53" x14ac:dyDescent="0.25">
      <c r="B434" s="55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184"/>
      <c r="AB434" s="184"/>
      <c r="AC434" s="55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</row>
    <row r="435" spans="2:53" x14ac:dyDescent="0.25">
      <c r="B435" s="55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184"/>
      <c r="AB435" s="184"/>
      <c r="AC435" s="55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</row>
    <row r="436" spans="2:53" x14ac:dyDescent="0.25">
      <c r="B436" s="55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184"/>
      <c r="AB436" s="184"/>
      <c r="AC436" s="55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</row>
    <row r="437" spans="2:53" x14ac:dyDescent="0.25">
      <c r="B437" s="55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184"/>
      <c r="AB437" s="184"/>
      <c r="AC437" s="55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</row>
    <row r="438" spans="2:53" x14ac:dyDescent="0.25">
      <c r="B438" s="55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184"/>
      <c r="AB438" s="184"/>
      <c r="AC438" s="55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</row>
    <row r="439" spans="2:53" x14ac:dyDescent="0.25">
      <c r="B439" s="55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184"/>
      <c r="AB439" s="184"/>
      <c r="AC439" s="55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</row>
    <row r="440" spans="2:53" x14ac:dyDescent="0.25">
      <c r="B440" s="55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184"/>
      <c r="AB440" s="184"/>
      <c r="AC440" s="55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</row>
    <row r="441" spans="2:53" x14ac:dyDescent="0.25">
      <c r="B441" s="55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184"/>
      <c r="AB441" s="184"/>
      <c r="AC441" s="55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</row>
    <row r="442" spans="2:53" x14ac:dyDescent="0.25">
      <c r="B442" s="55"/>
      <c r="C442" s="234"/>
      <c r="D442" s="234"/>
      <c r="E442" s="234"/>
      <c r="F442" s="234"/>
      <c r="G442" s="234"/>
      <c r="H442" s="234"/>
      <c r="I442" s="234"/>
      <c r="J442" s="234"/>
      <c r="K442" s="234"/>
      <c r="L442" s="234"/>
      <c r="M442" s="234"/>
      <c r="N442" s="234"/>
      <c r="O442" s="234"/>
      <c r="P442" s="234"/>
      <c r="Q442" s="234"/>
      <c r="R442" s="234"/>
      <c r="S442" s="234"/>
      <c r="T442" s="234"/>
      <c r="U442" s="234"/>
      <c r="V442" s="234"/>
      <c r="W442" s="234"/>
      <c r="X442" s="234"/>
      <c r="Y442" s="234"/>
      <c r="Z442" s="234"/>
      <c r="AA442" s="184"/>
      <c r="AB442" s="184"/>
      <c r="AC442" s="55"/>
      <c r="AD442" s="234"/>
      <c r="AE442" s="234"/>
      <c r="AF442" s="234"/>
      <c r="AG442" s="234"/>
      <c r="AH442" s="234"/>
      <c r="AI442" s="234"/>
      <c r="AJ442" s="234"/>
      <c r="AK442" s="234"/>
      <c r="AL442" s="234"/>
      <c r="AM442" s="234"/>
      <c r="AN442" s="234"/>
      <c r="AO442" s="234"/>
      <c r="AP442" s="234"/>
      <c r="AQ442" s="234"/>
      <c r="AR442" s="234"/>
      <c r="AS442" s="234"/>
      <c r="AT442" s="234"/>
      <c r="AU442" s="234"/>
      <c r="AV442" s="234"/>
      <c r="AW442" s="234"/>
      <c r="AX442" s="234"/>
      <c r="AY442" s="234"/>
      <c r="AZ442" s="234"/>
      <c r="BA442" s="234"/>
    </row>
    <row r="443" spans="2:53" x14ac:dyDescent="0.25">
      <c r="B443" s="55"/>
      <c r="C443" s="56"/>
      <c r="D443" s="56"/>
      <c r="E443" s="42"/>
      <c r="F443" s="55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54"/>
      <c r="AB443" s="54"/>
      <c r="AC443" s="55"/>
      <c r="AD443" s="56"/>
      <c r="AE443" s="56"/>
      <c r="AF443" s="42"/>
      <c r="AG443" s="55"/>
      <c r="AH443" s="212"/>
      <c r="AI443" s="212"/>
      <c r="AJ443" s="212"/>
      <c r="AK443" s="212"/>
      <c r="AL443" s="212"/>
      <c r="AM443" s="212"/>
      <c r="AN443" s="212"/>
      <c r="AO443" s="212"/>
      <c r="AP443" s="212"/>
      <c r="AQ443" s="212"/>
      <c r="AR443" s="212"/>
      <c r="AS443" s="212"/>
      <c r="AT443" s="212"/>
      <c r="AU443" s="212"/>
      <c r="AV443" s="212"/>
      <c r="AW443" s="212"/>
      <c r="AX443" s="212"/>
      <c r="AY443" s="212"/>
      <c r="AZ443" s="212"/>
      <c r="BA443" s="212"/>
    </row>
    <row r="444" spans="2:53" x14ac:dyDescent="0.25">
      <c r="B444" s="55"/>
      <c r="C444" s="56"/>
      <c r="D444" s="56"/>
      <c r="E444" s="42"/>
      <c r="F444" s="55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54"/>
      <c r="AB444" s="54"/>
      <c r="AC444" s="55"/>
      <c r="AD444" s="56"/>
      <c r="AE444" s="56"/>
      <c r="AF444" s="42"/>
      <c r="AG444" s="55"/>
      <c r="AH444" s="212"/>
      <c r="AI444" s="212"/>
      <c r="AJ444" s="212"/>
      <c r="AK444" s="212"/>
      <c r="AL444" s="212"/>
      <c r="AM444" s="212"/>
      <c r="AN444" s="212"/>
      <c r="AO444" s="212"/>
      <c r="AP444" s="212"/>
      <c r="AQ444" s="212"/>
      <c r="AR444" s="212"/>
      <c r="AS444" s="212"/>
      <c r="AT444" s="212"/>
      <c r="AU444" s="212"/>
      <c r="AV444" s="212"/>
      <c r="AW444" s="212"/>
      <c r="AX444" s="212"/>
      <c r="AY444" s="212"/>
      <c r="AZ444" s="212"/>
      <c r="BA444" s="212"/>
    </row>
    <row r="445" spans="2:53" x14ac:dyDescent="0.25">
      <c r="B445" s="55"/>
      <c r="C445" s="56"/>
      <c r="D445" s="56"/>
      <c r="E445" s="42"/>
      <c r="F445" s="55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54"/>
      <c r="AB445" s="54"/>
      <c r="AC445" s="55"/>
      <c r="AD445" s="56"/>
      <c r="AE445" s="56"/>
      <c r="AF445" s="42"/>
      <c r="AG445" s="55"/>
      <c r="AH445" s="212"/>
      <c r="AI445" s="212"/>
      <c r="AJ445" s="212"/>
      <c r="AK445" s="212"/>
      <c r="AL445" s="212"/>
      <c r="AM445" s="212"/>
      <c r="AN445" s="212"/>
      <c r="AO445" s="212"/>
      <c r="AP445" s="212"/>
      <c r="AQ445" s="212"/>
      <c r="AR445" s="212"/>
      <c r="AS445" s="212"/>
      <c r="AT445" s="212"/>
      <c r="AU445" s="212"/>
      <c r="AV445" s="212"/>
      <c r="AW445" s="212"/>
      <c r="AX445" s="212"/>
      <c r="AY445" s="212"/>
      <c r="AZ445" s="212"/>
      <c r="BA445" s="212"/>
    </row>
    <row r="446" spans="2:53" x14ac:dyDescent="0.25">
      <c r="B446" s="55"/>
      <c r="C446" s="56"/>
      <c r="D446" s="56"/>
      <c r="E446" s="42"/>
      <c r="F446" s="55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54"/>
      <c r="AB446" s="54"/>
      <c r="AC446" s="55"/>
      <c r="AD446" s="56"/>
      <c r="AE446" s="56"/>
      <c r="AF446" s="42"/>
      <c r="AG446" s="55"/>
      <c r="AH446" s="212"/>
      <c r="AI446" s="212"/>
      <c r="AJ446" s="212"/>
      <c r="AK446" s="212"/>
      <c r="AL446" s="212"/>
      <c r="AM446" s="212"/>
      <c r="AN446" s="212"/>
      <c r="AO446" s="212"/>
      <c r="AP446" s="212"/>
      <c r="AQ446" s="212"/>
      <c r="AR446" s="212"/>
      <c r="AS446" s="212"/>
      <c r="AT446" s="212"/>
      <c r="AU446" s="212"/>
      <c r="AV446" s="212"/>
      <c r="AW446" s="212"/>
      <c r="AX446" s="212"/>
      <c r="AY446" s="212"/>
      <c r="AZ446" s="212"/>
      <c r="BA446" s="212"/>
    </row>
    <row r="447" spans="2:53" x14ac:dyDescent="0.25">
      <c r="B447" s="55"/>
      <c r="C447" s="56"/>
      <c r="D447" s="56"/>
      <c r="E447" s="42"/>
      <c r="F447" s="55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54"/>
      <c r="AB447" s="54"/>
      <c r="AC447" s="55"/>
      <c r="AD447" s="56"/>
      <c r="AE447" s="56"/>
      <c r="AF447" s="42"/>
      <c r="AG447" s="55"/>
      <c r="AH447" s="212"/>
      <c r="AI447" s="212"/>
      <c r="AJ447" s="212"/>
      <c r="AK447" s="212"/>
      <c r="AL447" s="212"/>
      <c r="AM447" s="212"/>
      <c r="AN447" s="212"/>
      <c r="AO447" s="212"/>
      <c r="AP447" s="212"/>
      <c r="AQ447" s="212"/>
      <c r="AR447" s="212"/>
      <c r="AS447" s="212"/>
      <c r="AT447" s="212"/>
      <c r="AU447" s="212"/>
      <c r="AV447" s="212"/>
      <c r="AW447" s="212"/>
      <c r="AX447" s="212"/>
      <c r="AY447" s="212"/>
      <c r="AZ447" s="212"/>
      <c r="BA447" s="212"/>
    </row>
    <row r="448" spans="2:53" x14ac:dyDescent="0.25">
      <c r="B448" s="55"/>
      <c r="C448" s="56"/>
      <c r="D448" s="56"/>
      <c r="E448" s="42"/>
      <c r="F448" s="55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54"/>
      <c r="AB448" s="54"/>
      <c r="AC448" s="55"/>
      <c r="AD448" s="56"/>
      <c r="AE448" s="56"/>
      <c r="AF448" s="42"/>
      <c r="AG448" s="55"/>
      <c r="AH448" s="212"/>
      <c r="AI448" s="212"/>
      <c r="AJ448" s="212"/>
      <c r="AK448" s="212"/>
      <c r="AL448" s="212"/>
      <c r="AM448" s="212"/>
      <c r="AN448" s="212"/>
      <c r="AO448" s="212"/>
      <c r="AP448" s="212"/>
      <c r="AQ448" s="212"/>
      <c r="AR448" s="212"/>
      <c r="AS448" s="212"/>
      <c r="AT448" s="212"/>
      <c r="AU448" s="212"/>
      <c r="AV448" s="212"/>
      <c r="AW448" s="212"/>
      <c r="AX448" s="212"/>
      <c r="AY448" s="212"/>
      <c r="AZ448" s="212"/>
      <c r="BA448" s="212"/>
    </row>
    <row r="449" spans="2:53" x14ac:dyDescent="0.25">
      <c r="B449" s="55"/>
      <c r="C449" s="56"/>
      <c r="D449" s="56"/>
      <c r="E449" s="42"/>
      <c r="F449" s="55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54"/>
      <c r="AB449" s="54"/>
      <c r="AC449" s="55"/>
      <c r="AD449" s="56"/>
      <c r="AE449" s="56"/>
      <c r="AF449" s="42"/>
      <c r="AG449" s="55"/>
      <c r="AH449" s="212"/>
      <c r="AI449" s="212"/>
      <c r="AJ449" s="212"/>
      <c r="AK449" s="212"/>
      <c r="AL449" s="212"/>
      <c r="AM449" s="212"/>
      <c r="AN449" s="212"/>
      <c r="AO449" s="212"/>
      <c r="AP449" s="212"/>
      <c r="AQ449" s="212"/>
      <c r="AR449" s="212"/>
      <c r="AS449" s="212"/>
      <c r="AT449" s="212"/>
      <c r="AU449" s="212"/>
      <c r="AV449" s="212"/>
      <c r="AW449" s="212"/>
      <c r="AX449" s="212"/>
      <c r="AY449" s="212"/>
      <c r="AZ449" s="212"/>
      <c r="BA449" s="212"/>
    </row>
    <row r="450" spans="2:53" x14ac:dyDescent="0.25">
      <c r="B450" s="55"/>
      <c r="C450" s="56"/>
      <c r="D450" s="56"/>
      <c r="E450" s="42"/>
      <c r="F450" s="55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54"/>
      <c r="AB450" s="54"/>
      <c r="AC450" s="55"/>
      <c r="AD450" s="56"/>
      <c r="AE450" s="56"/>
      <c r="AF450" s="42"/>
      <c r="AG450" s="55"/>
      <c r="AH450" s="212"/>
      <c r="AI450" s="212"/>
      <c r="AJ450" s="212"/>
      <c r="AK450" s="212"/>
      <c r="AL450" s="212"/>
      <c r="AM450" s="212"/>
      <c r="AN450" s="212"/>
      <c r="AO450" s="212"/>
      <c r="AP450" s="212"/>
      <c r="AQ450" s="212"/>
      <c r="AR450" s="212"/>
      <c r="AS450" s="212"/>
      <c r="AT450" s="212"/>
      <c r="AU450" s="212"/>
      <c r="AV450" s="212"/>
      <c r="AW450" s="212"/>
      <c r="AX450" s="212"/>
      <c r="AY450" s="212"/>
      <c r="AZ450" s="212"/>
      <c r="BA450" s="212"/>
    </row>
    <row r="451" spans="2:53" x14ac:dyDescent="0.25">
      <c r="B451" s="55"/>
      <c r="C451" s="56"/>
      <c r="D451" s="56"/>
      <c r="E451" s="42"/>
      <c r="F451" s="55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54"/>
      <c r="AB451" s="54"/>
      <c r="AC451" s="55"/>
      <c r="AD451" s="56"/>
      <c r="AE451" s="56"/>
      <c r="AF451" s="42"/>
      <c r="AG451" s="55"/>
      <c r="AH451" s="212"/>
      <c r="AI451" s="212"/>
      <c r="AJ451" s="212"/>
      <c r="AK451" s="212"/>
      <c r="AL451" s="212"/>
      <c r="AM451" s="212"/>
      <c r="AN451" s="212"/>
      <c r="AO451" s="212"/>
      <c r="AP451" s="212"/>
      <c r="AQ451" s="212"/>
      <c r="AR451" s="212"/>
      <c r="AS451" s="212"/>
      <c r="AT451" s="212"/>
      <c r="AU451" s="212"/>
      <c r="AV451" s="212"/>
      <c r="AW451" s="212"/>
      <c r="AX451" s="212"/>
      <c r="AY451" s="212"/>
      <c r="AZ451" s="212"/>
      <c r="BA451" s="212"/>
    </row>
    <row r="452" spans="2:53" x14ac:dyDescent="0.25">
      <c r="B452" s="55"/>
      <c r="C452" s="56"/>
      <c r="D452" s="56"/>
      <c r="E452" s="42"/>
      <c r="F452" s="55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54"/>
      <c r="AB452" s="54"/>
      <c r="AC452" s="55"/>
      <c r="AD452" s="56"/>
      <c r="AE452" s="56"/>
      <c r="AF452" s="42"/>
      <c r="AG452" s="55"/>
      <c r="AH452" s="212"/>
      <c r="AI452" s="212"/>
      <c r="AJ452" s="212"/>
      <c r="AK452" s="212"/>
      <c r="AL452" s="212"/>
      <c r="AM452" s="212"/>
      <c r="AN452" s="212"/>
      <c r="AO452" s="212"/>
      <c r="AP452" s="212"/>
      <c r="AQ452" s="212"/>
      <c r="AR452" s="212"/>
      <c r="AS452" s="212"/>
      <c r="AT452" s="212"/>
      <c r="AU452" s="212"/>
      <c r="AV452" s="212"/>
      <c r="AW452" s="212"/>
      <c r="AX452" s="212"/>
      <c r="AY452" s="212"/>
      <c r="AZ452" s="212"/>
      <c r="BA452" s="212"/>
    </row>
    <row r="453" spans="2:53" x14ac:dyDescent="0.25">
      <c r="B453" s="55"/>
      <c r="C453" s="56"/>
      <c r="D453" s="56"/>
      <c r="E453" s="42"/>
      <c r="F453" s="55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54"/>
      <c r="AB453" s="54"/>
      <c r="AC453" s="55"/>
      <c r="AD453" s="56"/>
      <c r="AE453" s="56"/>
      <c r="AF453" s="42"/>
      <c r="AG453" s="55"/>
      <c r="AH453" s="212"/>
      <c r="AI453" s="212"/>
      <c r="AJ453" s="212"/>
      <c r="AK453" s="212"/>
      <c r="AL453" s="212"/>
      <c r="AM453" s="212"/>
      <c r="AN453" s="212"/>
      <c r="AO453" s="212"/>
      <c r="AP453" s="212"/>
      <c r="AQ453" s="212"/>
      <c r="AR453" s="212"/>
      <c r="AS453" s="212"/>
      <c r="AT453" s="212"/>
      <c r="AU453" s="212"/>
      <c r="AV453" s="212"/>
      <c r="AW453" s="212"/>
      <c r="AX453" s="212"/>
      <c r="AY453" s="212"/>
      <c r="AZ453" s="212"/>
      <c r="BA453" s="212"/>
    </row>
    <row r="454" spans="2:53" x14ac:dyDescent="0.25">
      <c r="B454" s="55"/>
      <c r="C454" s="56"/>
      <c r="D454" s="56"/>
      <c r="E454" s="41"/>
      <c r="F454" s="55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54"/>
      <c r="AB454" s="54"/>
      <c r="AC454" s="55"/>
      <c r="AD454" s="56"/>
      <c r="AE454" s="56"/>
      <c r="AF454" s="41"/>
      <c r="AG454" s="55"/>
      <c r="AH454" s="212"/>
      <c r="AI454" s="212"/>
      <c r="AJ454" s="212"/>
      <c r="AK454" s="212"/>
      <c r="AL454" s="212"/>
      <c r="AM454" s="212"/>
      <c r="AN454" s="212"/>
      <c r="AO454" s="212"/>
      <c r="AP454" s="212"/>
      <c r="AQ454" s="212"/>
      <c r="AR454" s="212"/>
      <c r="AS454" s="212"/>
      <c r="AT454" s="212"/>
      <c r="AU454" s="212"/>
      <c r="AV454" s="212"/>
      <c r="AW454" s="212"/>
      <c r="AX454" s="212"/>
      <c r="AY454" s="212"/>
      <c r="AZ454" s="212"/>
      <c r="BA454" s="212"/>
    </row>
    <row r="455" spans="2:53" x14ac:dyDescent="0.25">
      <c r="B455" s="55"/>
      <c r="C455" s="56"/>
      <c r="D455" s="56"/>
      <c r="E455" s="41"/>
      <c r="F455" s="55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54"/>
      <c r="AB455" s="54"/>
      <c r="AC455" s="55"/>
      <c r="AD455" s="56"/>
      <c r="AE455" s="56"/>
      <c r="AF455" s="41"/>
      <c r="AG455" s="55"/>
      <c r="AH455" s="212"/>
      <c r="AI455" s="212"/>
      <c r="AJ455" s="212"/>
      <c r="AK455" s="212"/>
      <c r="AL455" s="212"/>
      <c r="AM455" s="212"/>
      <c r="AN455" s="212"/>
      <c r="AO455" s="212"/>
      <c r="AP455" s="212"/>
      <c r="AQ455" s="212"/>
      <c r="AR455" s="212"/>
      <c r="AS455" s="212"/>
      <c r="AT455" s="212"/>
      <c r="AU455" s="212"/>
      <c r="AV455" s="212"/>
      <c r="AW455" s="212"/>
      <c r="AX455" s="212"/>
      <c r="AY455" s="212"/>
      <c r="AZ455" s="212"/>
      <c r="BA455" s="212"/>
    </row>
    <row r="456" spans="2:53" x14ac:dyDescent="0.25">
      <c r="B456" s="55"/>
      <c r="C456" s="56"/>
      <c r="D456" s="56"/>
      <c r="E456" s="41"/>
      <c r="F456" s="55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54"/>
      <c r="AB456" s="54"/>
      <c r="AC456" s="55"/>
      <c r="AD456" s="56"/>
      <c r="AE456" s="56"/>
      <c r="AF456" s="41"/>
      <c r="AG456" s="55"/>
      <c r="AH456" s="212"/>
      <c r="AI456" s="212"/>
      <c r="AJ456" s="212"/>
      <c r="AK456" s="212"/>
      <c r="AL456" s="212"/>
      <c r="AM456" s="212"/>
      <c r="AN456" s="212"/>
      <c r="AO456" s="212"/>
      <c r="AP456" s="212"/>
      <c r="AQ456" s="212"/>
      <c r="AR456" s="212"/>
      <c r="AS456" s="212"/>
      <c r="AT456" s="212"/>
      <c r="AU456" s="212"/>
      <c r="AV456" s="212"/>
      <c r="AW456" s="212"/>
      <c r="AX456" s="212"/>
      <c r="AY456" s="212"/>
      <c r="AZ456" s="212"/>
      <c r="BA456" s="212"/>
    </row>
    <row r="457" spans="2:53" x14ac:dyDescent="0.25">
      <c r="B457" s="55"/>
      <c r="C457" s="56"/>
      <c r="D457" s="56"/>
      <c r="E457" s="42"/>
      <c r="F457" s="55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54"/>
      <c r="AB457" s="54"/>
      <c r="AC457" s="55"/>
      <c r="AD457" s="56"/>
      <c r="AE457" s="56"/>
      <c r="AF457" s="42"/>
      <c r="AG457" s="55"/>
      <c r="AH457" s="212"/>
      <c r="AI457" s="212"/>
      <c r="AJ457" s="212"/>
      <c r="AK457" s="212"/>
      <c r="AL457" s="212"/>
      <c r="AM457" s="212"/>
      <c r="AN457" s="212"/>
      <c r="AO457" s="212"/>
      <c r="AP457" s="212"/>
      <c r="AQ457" s="212"/>
      <c r="AR457" s="212"/>
      <c r="AS457" s="212"/>
      <c r="AT457" s="212"/>
      <c r="AU457" s="212"/>
      <c r="AV457" s="212"/>
      <c r="AW457" s="212"/>
      <c r="AX457" s="212"/>
      <c r="AY457" s="212"/>
      <c r="AZ457" s="212"/>
      <c r="BA457" s="212"/>
    </row>
    <row r="458" spans="2:53" x14ac:dyDescent="0.25">
      <c r="B458" s="55"/>
      <c r="C458" s="56"/>
      <c r="D458" s="56"/>
      <c r="E458" s="42"/>
      <c r="F458" s="55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54"/>
      <c r="AB458" s="54"/>
      <c r="AC458" s="55"/>
      <c r="AD458" s="56"/>
      <c r="AE458" s="56"/>
      <c r="AF458" s="42"/>
      <c r="AG458" s="55"/>
      <c r="AH458" s="212"/>
      <c r="AI458" s="212"/>
      <c r="AJ458" s="212"/>
      <c r="AK458" s="212"/>
      <c r="AL458" s="212"/>
      <c r="AM458" s="212"/>
      <c r="AN458" s="212"/>
      <c r="AO458" s="212"/>
      <c r="AP458" s="212"/>
      <c r="AQ458" s="212"/>
      <c r="AR458" s="212"/>
      <c r="AS458" s="212"/>
      <c r="AT458" s="212"/>
      <c r="AU458" s="212"/>
      <c r="AV458" s="212"/>
      <c r="AW458" s="212"/>
      <c r="AX458" s="212"/>
      <c r="AY458" s="212"/>
      <c r="AZ458" s="212"/>
      <c r="BA458" s="212"/>
    </row>
    <row r="459" spans="2:53" x14ac:dyDescent="0.25">
      <c r="B459" s="55"/>
      <c r="C459" s="56"/>
      <c r="D459" s="56"/>
      <c r="E459" s="43"/>
      <c r="F459" s="5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54"/>
      <c r="AB459" s="54"/>
      <c r="AC459" s="55"/>
      <c r="AD459" s="56"/>
      <c r="AE459" s="56"/>
      <c r="AF459" s="43"/>
      <c r="AG459" s="55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  <c r="AR459" s="46"/>
      <c r="AS459" s="46"/>
      <c r="AT459" s="46"/>
      <c r="AU459" s="46"/>
      <c r="AV459" s="46"/>
      <c r="AW459" s="46"/>
      <c r="AX459" s="46"/>
      <c r="AY459" s="46"/>
      <c r="AZ459" s="46"/>
      <c r="BA459" s="46"/>
    </row>
    <row r="460" spans="2:53" x14ac:dyDescent="0.25">
      <c r="B460" s="55"/>
      <c r="C460" s="56"/>
      <c r="D460" s="56"/>
      <c r="E460" s="43"/>
      <c r="F460" s="5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54"/>
      <c r="AB460" s="54"/>
      <c r="AC460" s="55"/>
      <c r="AD460" s="56"/>
      <c r="AE460" s="56"/>
      <c r="AF460" s="43"/>
      <c r="AG460" s="55"/>
      <c r="AH460" s="46"/>
      <c r="AI460" s="46"/>
      <c r="AJ460" s="46"/>
      <c r="AK460" s="46"/>
      <c r="AL460" s="46"/>
      <c r="AM460" s="46"/>
      <c r="AN460" s="46"/>
      <c r="AO460" s="46"/>
      <c r="AP460" s="46"/>
      <c r="AQ460" s="46"/>
      <c r="AR460" s="46"/>
      <c r="AS460" s="46"/>
      <c r="AT460" s="46"/>
      <c r="AU460" s="46"/>
      <c r="AV460" s="46"/>
      <c r="AW460" s="46"/>
      <c r="AX460" s="46"/>
      <c r="AY460" s="46"/>
      <c r="AZ460" s="46"/>
      <c r="BA460" s="46"/>
    </row>
    <row r="461" spans="2:53" x14ac:dyDescent="0.25">
      <c r="B461" s="55"/>
      <c r="C461" s="56"/>
      <c r="D461" s="56"/>
      <c r="E461" s="43"/>
      <c r="F461" s="5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54"/>
      <c r="AB461" s="54"/>
      <c r="AC461" s="55"/>
      <c r="AD461" s="56"/>
      <c r="AE461" s="56"/>
      <c r="AF461" s="43"/>
      <c r="AG461" s="55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  <c r="AR461" s="46"/>
      <c r="AS461" s="46"/>
      <c r="AT461" s="46"/>
      <c r="AU461" s="46"/>
      <c r="AV461" s="46"/>
      <c r="AW461" s="46"/>
      <c r="AX461" s="46"/>
      <c r="AY461" s="46"/>
      <c r="AZ461" s="46"/>
      <c r="BA461" s="46"/>
    </row>
    <row r="462" spans="2:53" x14ac:dyDescent="0.25">
      <c r="B462" s="55"/>
      <c r="C462" s="56"/>
      <c r="D462" s="56"/>
      <c r="E462" s="43"/>
      <c r="F462" s="5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54"/>
      <c r="AB462" s="54"/>
      <c r="AC462" s="55"/>
      <c r="AD462" s="56"/>
      <c r="AE462" s="56"/>
      <c r="AF462" s="43"/>
      <c r="AG462" s="55"/>
      <c r="AH462" s="46"/>
      <c r="AI462" s="46"/>
      <c r="AJ462" s="46"/>
      <c r="AK462" s="46"/>
      <c r="AL462" s="46"/>
      <c r="AM462" s="46"/>
      <c r="AN462" s="46"/>
      <c r="AO462" s="46"/>
      <c r="AP462" s="46"/>
      <c r="AQ462" s="46"/>
      <c r="AR462" s="46"/>
      <c r="AS462" s="46"/>
      <c r="AT462" s="46"/>
      <c r="AU462" s="46"/>
      <c r="AV462" s="46"/>
      <c r="AW462" s="46"/>
      <c r="AX462" s="46"/>
      <c r="AY462" s="46"/>
      <c r="AZ462" s="46"/>
      <c r="BA462" s="46"/>
    </row>
    <row r="463" spans="2:53" x14ac:dyDescent="0.25">
      <c r="B463" s="55"/>
      <c r="C463" s="56"/>
      <c r="D463" s="56"/>
      <c r="E463" s="43"/>
      <c r="F463" s="5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54"/>
      <c r="AB463" s="54"/>
      <c r="AC463" s="55"/>
      <c r="AD463" s="56"/>
      <c r="AE463" s="56"/>
      <c r="AF463" s="43"/>
      <c r="AG463" s="55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  <c r="AR463" s="46"/>
      <c r="AS463" s="46"/>
      <c r="AT463" s="46"/>
      <c r="AU463" s="46"/>
      <c r="AV463" s="46"/>
      <c r="AW463" s="46"/>
      <c r="AX463" s="46"/>
      <c r="AY463" s="46"/>
      <c r="AZ463" s="46"/>
      <c r="BA463" s="46"/>
    </row>
    <row r="464" spans="2:53" x14ac:dyDescent="0.25">
      <c r="B464" s="55"/>
      <c r="C464" s="56"/>
      <c r="D464" s="56"/>
      <c r="E464" s="43"/>
      <c r="F464" s="5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54"/>
      <c r="AB464" s="54"/>
      <c r="AC464" s="55"/>
      <c r="AD464" s="56"/>
      <c r="AE464" s="56"/>
      <c r="AF464" s="43"/>
      <c r="AG464" s="55"/>
      <c r="AH464" s="46"/>
      <c r="AI464" s="46"/>
      <c r="AJ464" s="46"/>
      <c r="AK464" s="46"/>
      <c r="AL464" s="46"/>
      <c r="AM464" s="46"/>
      <c r="AN464" s="46"/>
      <c r="AO464" s="46"/>
      <c r="AP464" s="46"/>
      <c r="AQ464" s="46"/>
      <c r="AR464" s="46"/>
      <c r="AS464" s="46"/>
      <c r="AT464" s="46"/>
      <c r="AU464" s="46"/>
      <c r="AV464" s="46"/>
      <c r="AW464" s="46"/>
      <c r="AX464" s="46"/>
      <c r="AY464" s="46"/>
      <c r="AZ464" s="46"/>
      <c r="BA464" s="46"/>
    </row>
    <row r="465" spans="2:53" x14ac:dyDescent="0.25">
      <c r="B465" s="55"/>
      <c r="C465" s="56"/>
      <c r="D465" s="56"/>
      <c r="E465" s="56"/>
      <c r="F465" s="56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54"/>
      <c r="AB465" s="54"/>
      <c r="AC465" s="55"/>
      <c r="AD465" s="56"/>
      <c r="AE465" s="56"/>
      <c r="AF465" s="56"/>
      <c r="AG465" s="56"/>
      <c r="AH465" s="47"/>
      <c r="AI465" s="47"/>
      <c r="AJ465" s="47"/>
      <c r="AK465" s="47"/>
      <c r="AL465" s="47"/>
      <c r="AM465" s="47"/>
      <c r="AN465" s="47"/>
      <c r="AO465" s="47"/>
      <c r="AP465" s="47"/>
      <c r="AQ465" s="47"/>
      <c r="AR465" s="47"/>
      <c r="AS465" s="47"/>
      <c r="AT465" s="47"/>
      <c r="AU465" s="47"/>
      <c r="AV465" s="47"/>
      <c r="AW465" s="47"/>
      <c r="AX465" s="47"/>
      <c r="AY465" s="47"/>
      <c r="AZ465" s="47"/>
      <c r="BA465" s="47"/>
    </row>
    <row r="466" spans="2:53" x14ac:dyDescent="0.25">
      <c r="B466" s="55"/>
      <c r="C466" s="56"/>
      <c r="D466" s="56"/>
      <c r="E466" s="56"/>
      <c r="F466" s="56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54"/>
      <c r="AB466" s="54"/>
      <c r="AC466" s="55"/>
      <c r="AD466" s="56"/>
      <c r="AE466" s="56"/>
      <c r="AF466" s="56"/>
      <c r="AG466" s="56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</row>
    <row r="467" spans="2:53" x14ac:dyDescent="0.25">
      <c r="B467" s="55"/>
      <c r="C467" s="56"/>
      <c r="D467" s="56"/>
      <c r="E467" s="56"/>
      <c r="F467" s="56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8"/>
      <c r="X467" s="48"/>
      <c r="Y467" s="48"/>
      <c r="Z467" s="48"/>
      <c r="AA467" s="54"/>
      <c r="AB467" s="54"/>
      <c r="AC467" s="55"/>
      <c r="AD467" s="56"/>
      <c r="AE467" s="56"/>
      <c r="AF467" s="56"/>
      <c r="AG467" s="56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</row>
    <row r="468" spans="2:53" x14ac:dyDescent="0.25">
      <c r="B468" s="55"/>
      <c r="C468" s="56"/>
      <c r="D468" s="56"/>
      <c r="E468" s="56"/>
      <c r="F468" s="56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54"/>
      <c r="AB468" s="54"/>
      <c r="AC468" s="55"/>
      <c r="AD468" s="56"/>
      <c r="AE468" s="56"/>
      <c r="AF468" s="56"/>
      <c r="AG468" s="56"/>
      <c r="AH468" s="47"/>
      <c r="AI468" s="47"/>
      <c r="AJ468" s="47"/>
      <c r="AK468" s="47"/>
      <c r="AL468" s="47"/>
      <c r="AM468" s="47"/>
      <c r="AN468" s="47"/>
      <c r="AO468" s="47"/>
      <c r="AP468" s="47"/>
      <c r="AQ468" s="47"/>
      <c r="AR468" s="47"/>
      <c r="AS468" s="47"/>
      <c r="AT468" s="47"/>
      <c r="AU468" s="47"/>
      <c r="AV468" s="47"/>
      <c r="AW468" s="47"/>
      <c r="AX468" s="47"/>
      <c r="AY468" s="47"/>
      <c r="AZ468" s="47"/>
      <c r="BA468" s="47"/>
    </row>
    <row r="469" spans="2:53" x14ac:dyDescent="0.25">
      <c r="B469" s="55"/>
      <c r="C469" s="56"/>
      <c r="D469" s="56"/>
      <c r="E469" s="56"/>
      <c r="F469" s="56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54"/>
      <c r="AB469" s="54"/>
      <c r="AC469" s="55"/>
      <c r="AD469" s="56"/>
      <c r="AE469" s="56"/>
      <c r="AF469" s="56"/>
      <c r="AG469" s="56"/>
      <c r="AH469" s="47"/>
      <c r="AI469" s="47"/>
      <c r="AJ469" s="47"/>
      <c r="AK469" s="47"/>
      <c r="AL469" s="47"/>
      <c r="AM469" s="47"/>
      <c r="AN469" s="47"/>
      <c r="AO469" s="47"/>
      <c r="AP469" s="47"/>
      <c r="AQ469" s="47"/>
      <c r="AR469" s="47"/>
      <c r="AS469" s="47"/>
      <c r="AT469" s="47"/>
      <c r="AU469" s="47"/>
      <c r="AV469" s="47"/>
      <c r="AW469" s="47"/>
      <c r="AX469" s="47"/>
      <c r="AY469" s="47"/>
      <c r="AZ469" s="47"/>
      <c r="BA469" s="47"/>
    </row>
    <row r="470" spans="2:53" x14ac:dyDescent="0.25">
      <c r="B470" s="55"/>
      <c r="C470" s="56"/>
      <c r="D470" s="56"/>
      <c r="E470" s="56"/>
      <c r="F470" s="56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54"/>
      <c r="AB470" s="54"/>
      <c r="AC470" s="55"/>
      <c r="AD470" s="56"/>
      <c r="AE470" s="56"/>
      <c r="AF470" s="56"/>
      <c r="AG470" s="56"/>
      <c r="AH470" s="47"/>
      <c r="AI470" s="47"/>
      <c r="AJ470" s="47"/>
      <c r="AK470" s="47"/>
      <c r="AL470" s="47"/>
      <c r="AM470" s="47"/>
      <c r="AN470" s="47"/>
      <c r="AO470" s="47"/>
      <c r="AP470" s="47"/>
      <c r="AQ470" s="47"/>
      <c r="AR470" s="47"/>
      <c r="AS470" s="47"/>
      <c r="AT470" s="47"/>
      <c r="AU470" s="47"/>
      <c r="AV470" s="47"/>
      <c r="AW470" s="47"/>
      <c r="AX470" s="47"/>
      <c r="AY470" s="47"/>
      <c r="AZ470" s="47"/>
      <c r="BA470" s="47"/>
    </row>
    <row r="471" spans="2:53" x14ac:dyDescent="0.25">
      <c r="B471" s="55"/>
      <c r="C471" s="56"/>
      <c r="D471" s="56"/>
      <c r="E471" s="56"/>
      <c r="F471" s="56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54"/>
      <c r="AB471" s="54"/>
      <c r="AC471" s="55"/>
      <c r="AD471" s="56"/>
      <c r="AE471" s="56"/>
      <c r="AF471" s="56"/>
      <c r="AG471" s="56"/>
      <c r="AH471" s="47"/>
      <c r="AI471" s="47"/>
      <c r="AJ471" s="47"/>
      <c r="AK471" s="47"/>
      <c r="AL471" s="47"/>
      <c r="AM471" s="47"/>
      <c r="AN471" s="47"/>
      <c r="AO471" s="47"/>
      <c r="AP471" s="47"/>
      <c r="AQ471" s="47"/>
      <c r="AR471" s="47"/>
      <c r="AS471" s="47"/>
      <c r="AT471" s="47"/>
      <c r="AU471" s="47"/>
      <c r="AV471" s="47"/>
      <c r="AW471" s="47"/>
      <c r="AX471" s="47"/>
      <c r="AY471" s="47"/>
      <c r="AZ471" s="47"/>
      <c r="BA471" s="47"/>
    </row>
    <row r="472" spans="2:53" x14ac:dyDescent="0.25">
      <c r="B472" s="55"/>
      <c r="C472" s="56"/>
      <c r="D472" s="56"/>
      <c r="E472" s="56"/>
      <c r="F472" s="56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54"/>
      <c r="AB472" s="54"/>
      <c r="AC472" s="55"/>
      <c r="AD472" s="56"/>
      <c r="AE472" s="56"/>
      <c r="AF472" s="56"/>
      <c r="AG472" s="56"/>
      <c r="AH472" s="47"/>
      <c r="AI472" s="47"/>
      <c r="AJ472" s="47"/>
      <c r="AK472" s="47"/>
      <c r="AL472" s="47"/>
      <c r="AM472" s="47"/>
      <c r="AN472" s="47"/>
      <c r="AO472" s="47"/>
      <c r="AP472" s="47"/>
      <c r="AQ472" s="47"/>
      <c r="AR472" s="47"/>
      <c r="AS472" s="47"/>
      <c r="AT472" s="47"/>
      <c r="AU472" s="47"/>
      <c r="AV472" s="47"/>
      <c r="AW472" s="47"/>
      <c r="AX472" s="47"/>
      <c r="AY472" s="47"/>
      <c r="AZ472" s="47"/>
      <c r="BA472" s="47"/>
    </row>
    <row r="473" spans="2:53" x14ac:dyDescent="0.25">
      <c r="B473" s="55"/>
      <c r="C473" s="56"/>
      <c r="D473" s="56"/>
      <c r="E473" s="56"/>
      <c r="F473" s="56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54"/>
      <c r="AB473" s="54"/>
      <c r="AC473" s="55"/>
      <c r="AD473" s="56"/>
      <c r="AE473" s="56"/>
      <c r="AF473" s="56"/>
      <c r="AG473" s="56"/>
      <c r="AH473" s="47"/>
      <c r="AI473" s="47"/>
      <c r="AJ473" s="47"/>
      <c r="AK473" s="47"/>
      <c r="AL473" s="47"/>
      <c r="AM473" s="47"/>
      <c r="AN473" s="47"/>
      <c r="AO473" s="47"/>
      <c r="AP473" s="47"/>
      <c r="AQ473" s="47"/>
      <c r="AR473" s="47"/>
      <c r="AS473" s="47"/>
      <c r="AT473" s="47"/>
      <c r="AU473" s="47"/>
      <c r="AV473" s="47"/>
      <c r="AW473" s="47"/>
      <c r="AX473" s="47"/>
      <c r="AY473" s="47"/>
      <c r="AZ473" s="47"/>
      <c r="BA473" s="47"/>
    </row>
    <row r="474" spans="2:53" x14ac:dyDescent="0.25">
      <c r="B474" s="55"/>
      <c r="C474" s="56"/>
      <c r="D474" s="56"/>
      <c r="E474" s="56"/>
      <c r="F474" s="56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54"/>
      <c r="AB474" s="54"/>
      <c r="AC474" s="55"/>
      <c r="AD474" s="56"/>
      <c r="AE474" s="56"/>
      <c r="AF474" s="56"/>
      <c r="AG474" s="56"/>
      <c r="AH474" s="47"/>
      <c r="AI474" s="47"/>
      <c r="AJ474" s="47"/>
      <c r="AK474" s="47"/>
      <c r="AL474" s="47"/>
      <c r="AM474" s="47"/>
      <c r="AN474" s="47"/>
      <c r="AO474" s="47"/>
      <c r="AP474" s="47"/>
      <c r="AQ474" s="47"/>
      <c r="AR474" s="47"/>
      <c r="AS474" s="47"/>
      <c r="AT474" s="47"/>
      <c r="AU474" s="47"/>
      <c r="AV474" s="47"/>
      <c r="AW474" s="47"/>
      <c r="AX474" s="47"/>
      <c r="AY474" s="47"/>
      <c r="AZ474" s="47"/>
      <c r="BA474" s="47"/>
    </row>
    <row r="475" spans="2:53" x14ac:dyDescent="0.25">
      <c r="B475" s="55"/>
      <c r="C475" s="56"/>
      <c r="D475" s="56"/>
      <c r="E475" s="56"/>
      <c r="F475" s="56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54"/>
      <c r="AB475" s="54"/>
      <c r="AC475" s="55"/>
      <c r="AD475" s="56"/>
      <c r="AE475" s="56"/>
      <c r="AF475" s="56"/>
      <c r="AG475" s="56"/>
      <c r="AH475" s="47"/>
      <c r="AI475" s="47"/>
      <c r="AJ475" s="47"/>
      <c r="AK475" s="47"/>
      <c r="AL475" s="47"/>
      <c r="AM475" s="47"/>
      <c r="AN475" s="47"/>
      <c r="AO475" s="47"/>
      <c r="AP475" s="47"/>
      <c r="AQ475" s="47"/>
      <c r="AR475" s="47"/>
      <c r="AS475" s="47"/>
      <c r="AT475" s="47"/>
      <c r="AU475" s="47"/>
      <c r="AV475" s="47"/>
      <c r="AW475" s="47"/>
      <c r="AX475" s="47"/>
      <c r="AY475" s="47"/>
      <c r="AZ475" s="47"/>
      <c r="BA475" s="47"/>
    </row>
    <row r="476" spans="2:53" x14ac:dyDescent="0.25">
      <c r="B476" s="55"/>
      <c r="C476" s="56"/>
      <c r="D476" s="56"/>
      <c r="E476" s="56"/>
      <c r="F476" s="56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54"/>
      <c r="AB476" s="54"/>
      <c r="AC476" s="55"/>
      <c r="AD476" s="56"/>
      <c r="AE476" s="56"/>
      <c r="AF476" s="56"/>
      <c r="AG476" s="56"/>
      <c r="AH476" s="47"/>
      <c r="AI476" s="47"/>
      <c r="AJ476" s="47"/>
      <c r="AK476" s="47"/>
      <c r="AL476" s="47"/>
      <c r="AM476" s="47"/>
      <c r="AN476" s="47"/>
      <c r="AO476" s="47"/>
      <c r="AP476" s="47"/>
      <c r="AQ476" s="47"/>
      <c r="AR476" s="47"/>
      <c r="AS476" s="47"/>
      <c r="AT476" s="47"/>
      <c r="AU476" s="47"/>
      <c r="AV476" s="47"/>
      <c r="AW476" s="47"/>
      <c r="AX476" s="47"/>
      <c r="AY476" s="47"/>
      <c r="AZ476" s="47"/>
      <c r="BA476" s="47"/>
    </row>
    <row r="477" spans="2:53" x14ac:dyDescent="0.25">
      <c r="B477" s="55"/>
      <c r="C477" s="56"/>
      <c r="D477" s="56"/>
      <c r="E477" s="56"/>
      <c r="F477" s="56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54"/>
      <c r="AB477" s="54"/>
      <c r="AC477" s="55"/>
      <c r="AD477" s="56"/>
      <c r="AE477" s="56"/>
      <c r="AF477" s="56"/>
      <c r="AG477" s="56"/>
      <c r="AH477" s="47"/>
      <c r="AI477" s="47"/>
      <c r="AJ477" s="47"/>
      <c r="AK477" s="47"/>
      <c r="AL477" s="47"/>
      <c r="AM477" s="47"/>
      <c r="AN477" s="47"/>
      <c r="AO477" s="47"/>
      <c r="AP477" s="47"/>
      <c r="AQ477" s="47"/>
      <c r="AR477" s="47"/>
      <c r="AS477" s="47"/>
      <c r="AT477" s="47"/>
      <c r="AU477" s="47"/>
      <c r="AV477" s="47"/>
      <c r="AW477" s="47"/>
      <c r="AX477" s="47"/>
      <c r="AY477" s="47"/>
      <c r="AZ477" s="47"/>
      <c r="BA477" s="47"/>
    </row>
    <row r="478" spans="2:53" x14ac:dyDescent="0.25">
      <c r="B478" s="55"/>
      <c r="C478" s="56"/>
      <c r="D478" s="56"/>
      <c r="E478" s="56"/>
      <c r="F478" s="56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54"/>
      <c r="AB478" s="54"/>
      <c r="AC478" s="55"/>
      <c r="AD478" s="56"/>
      <c r="AE478" s="56"/>
      <c r="AF478" s="56"/>
      <c r="AG478" s="56"/>
      <c r="AH478" s="47"/>
      <c r="AI478" s="47"/>
      <c r="AJ478" s="47"/>
      <c r="AK478" s="47"/>
      <c r="AL478" s="47"/>
      <c r="AM478" s="47"/>
      <c r="AN478" s="47"/>
      <c r="AO478" s="47"/>
      <c r="AP478" s="47"/>
      <c r="AQ478" s="47"/>
      <c r="AR478" s="47"/>
      <c r="AS478" s="47"/>
      <c r="AT478" s="47"/>
      <c r="AU478" s="47"/>
      <c r="AV478" s="47"/>
      <c r="AW478" s="47"/>
      <c r="AX478" s="47"/>
      <c r="AY478" s="47"/>
      <c r="AZ478" s="47"/>
      <c r="BA478" s="47"/>
    </row>
    <row r="479" spans="2:53" x14ac:dyDescent="0.25">
      <c r="B479" s="55"/>
      <c r="C479" s="56"/>
      <c r="D479" s="56"/>
      <c r="E479" s="56"/>
      <c r="F479" s="56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54"/>
      <c r="AB479" s="54"/>
      <c r="AC479" s="55"/>
      <c r="AD479" s="56"/>
      <c r="AE479" s="56"/>
      <c r="AF479" s="56"/>
      <c r="AG479" s="56"/>
      <c r="AH479" s="47"/>
      <c r="AI479" s="47"/>
      <c r="AJ479" s="47"/>
      <c r="AK479" s="47"/>
      <c r="AL479" s="47"/>
      <c r="AM479" s="47"/>
      <c r="AN479" s="47"/>
      <c r="AO479" s="47"/>
      <c r="AP479" s="47"/>
      <c r="AQ479" s="47"/>
      <c r="AR479" s="47"/>
      <c r="AS479" s="47"/>
      <c r="AT479" s="47"/>
      <c r="AU479" s="47"/>
      <c r="AV479" s="47"/>
      <c r="AW479" s="47"/>
      <c r="AX479" s="47"/>
      <c r="AY479" s="47"/>
      <c r="AZ479" s="47"/>
      <c r="BA479" s="47"/>
    </row>
    <row r="480" spans="2:53" x14ac:dyDescent="0.25">
      <c r="B480" s="55"/>
      <c r="C480" s="56"/>
      <c r="D480" s="56"/>
      <c r="E480" s="56"/>
      <c r="F480" s="56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54"/>
      <c r="AB480" s="54"/>
      <c r="AC480" s="55"/>
      <c r="AD480" s="56"/>
      <c r="AE480" s="56"/>
      <c r="AF480" s="56"/>
      <c r="AG480" s="56"/>
      <c r="AH480" s="47"/>
      <c r="AI480" s="47"/>
      <c r="AJ480" s="47"/>
      <c r="AK480" s="47"/>
      <c r="AL480" s="47"/>
      <c r="AM480" s="47"/>
      <c r="AN480" s="47"/>
      <c r="AO480" s="47"/>
      <c r="AP480" s="47"/>
      <c r="AQ480" s="47"/>
      <c r="AR480" s="47"/>
      <c r="AS480" s="47"/>
      <c r="AT480" s="47"/>
      <c r="AU480" s="47"/>
      <c r="AV480" s="47"/>
      <c r="AW480" s="47"/>
      <c r="AX480" s="47"/>
      <c r="AY480" s="47"/>
      <c r="AZ480" s="47"/>
      <c r="BA480" s="47"/>
    </row>
    <row r="481" spans="2:53" x14ac:dyDescent="0.25">
      <c r="B481" s="55"/>
      <c r="C481" s="56"/>
      <c r="D481" s="56"/>
      <c r="E481" s="56"/>
      <c r="F481" s="56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54"/>
      <c r="AB481" s="54"/>
      <c r="AC481" s="55"/>
      <c r="AD481" s="56"/>
      <c r="AE481" s="56"/>
      <c r="AF481" s="56"/>
      <c r="AG481" s="56"/>
      <c r="AH481" s="47"/>
      <c r="AI481" s="47"/>
      <c r="AJ481" s="47"/>
      <c r="AK481" s="47"/>
      <c r="AL481" s="47"/>
      <c r="AM481" s="47"/>
      <c r="AN481" s="47"/>
      <c r="AO481" s="47"/>
      <c r="AP481" s="47"/>
      <c r="AQ481" s="47"/>
      <c r="AR481" s="47"/>
      <c r="AS481" s="47"/>
      <c r="AT481" s="47"/>
      <c r="AU481" s="47"/>
      <c r="AV481" s="47"/>
      <c r="AW481" s="47"/>
      <c r="AX481" s="47"/>
      <c r="AY481" s="47"/>
      <c r="AZ481" s="47"/>
      <c r="BA481" s="47"/>
    </row>
    <row r="482" spans="2:53" x14ac:dyDescent="0.25">
      <c r="B482" s="55"/>
      <c r="C482" s="56"/>
      <c r="D482" s="56"/>
      <c r="E482" s="56"/>
      <c r="F482" s="56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54"/>
      <c r="AB482" s="54"/>
      <c r="AC482" s="55"/>
      <c r="AD482" s="56"/>
      <c r="AE482" s="56"/>
      <c r="AF482" s="56"/>
      <c r="AG482" s="56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  <c r="AZ482" s="48"/>
      <c r="BA482" s="48"/>
    </row>
    <row r="483" spans="2:53" x14ac:dyDescent="0.25">
      <c r="B483" s="55"/>
      <c r="C483" s="56"/>
      <c r="D483" s="56"/>
      <c r="E483" s="56"/>
      <c r="F483" s="56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54"/>
      <c r="AB483" s="54"/>
      <c r="AC483" s="55"/>
      <c r="AD483" s="56"/>
      <c r="AE483" s="56"/>
      <c r="AF483" s="56"/>
      <c r="AG483" s="56"/>
      <c r="AH483" s="47"/>
      <c r="AI483" s="47"/>
      <c r="AJ483" s="47"/>
      <c r="AK483" s="47"/>
      <c r="AL483" s="47"/>
      <c r="AM483" s="47"/>
      <c r="AN483" s="47"/>
      <c r="AO483" s="47"/>
      <c r="AP483" s="47"/>
      <c r="AQ483" s="47"/>
      <c r="AR483" s="47"/>
      <c r="AS483" s="47"/>
      <c r="AT483" s="47"/>
      <c r="AU483" s="47"/>
      <c r="AV483" s="47"/>
      <c r="AW483" s="47"/>
      <c r="AX483" s="47"/>
      <c r="AY483" s="47"/>
      <c r="AZ483" s="47"/>
      <c r="BA483" s="47"/>
    </row>
    <row r="484" spans="2:53" x14ac:dyDescent="0.25">
      <c r="B484" s="55"/>
      <c r="C484" s="56"/>
      <c r="D484" s="56"/>
      <c r="E484" s="56"/>
      <c r="F484" s="56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54"/>
      <c r="AB484" s="54"/>
      <c r="AC484" s="55"/>
      <c r="AD484" s="56"/>
      <c r="AE484" s="56"/>
      <c r="AF484" s="56"/>
      <c r="AG484" s="56"/>
      <c r="AH484" s="47"/>
      <c r="AI484" s="47"/>
      <c r="AJ484" s="47"/>
      <c r="AK484" s="47"/>
      <c r="AL484" s="47"/>
      <c r="AM484" s="47"/>
      <c r="AN484" s="47"/>
      <c r="AO484" s="47"/>
      <c r="AP484" s="47"/>
      <c r="AQ484" s="47"/>
      <c r="AR484" s="47"/>
      <c r="AS484" s="47"/>
      <c r="AT484" s="47"/>
      <c r="AU484" s="47"/>
      <c r="AV484" s="47"/>
      <c r="AW484" s="47"/>
      <c r="AX484" s="47"/>
      <c r="AY484" s="47"/>
      <c r="AZ484" s="47"/>
      <c r="BA484" s="47"/>
    </row>
    <row r="485" spans="2:53" x14ac:dyDescent="0.25">
      <c r="B485" s="55"/>
      <c r="C485" s="56"/>
      <c r="D485" s="56"/>
      <c r="E485" s="56"/>
      <c r="F485" s="56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54"/>
      <c r="AB485" s="54"/>
      <c r="AC485" s="55"/>
      <c r="AD485" s="56"/>
      <c r="AE485" s="56"/>
      <c r="AF485" s="56"/>
      <c r="AG485" s="56"/>
      <c r="AH485" s="47"/>
      <c r="AI485" s="47"/>
      <c r="AJ485" s="47"/>
      <c r="AK485" s="47"/>
      <c r="AL485" s="47"/>
      <c r="AM485" s="47"/>
      <c r="AN485" s="47"/>
      <c r="AO485" s="47"/>
      <c r="AP485" s="47"/>
      <c r="AQ485" s="47"/>
      <c r="AR485" s="47"/>
      <c r="AS485" s="47"/>
      <c r="AT485" s="47"/>
      <c r="AU485" s="47"/>
      <c r="AV485" s="47"/>
      <c r="AW485" s="47"/>
      <c r="AX485" s="47"/>
      <c r="AY485" s="47"/>
      <c r="AZ485" s="47"/>
      <c r="BA485" s="47"/>
    </row>
    <row r="486" spans="2:53" x14ac:dyDescent="0.25">
      <c r="B486" s="55"/>
      <c r="C486" s="56"/>
      <c r="D486" s="56"/>
      <c r="E486" s="56"/>
      <c r="F486" s="56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54"/>
      <c r="AB486" s="54"/>
      <c r="AC486" s="55"/>
      <c r="AD486" s="56"/>
      <c r="AE486" s="56"/>
      <c r="AF486" s="56"/>
      <c r="AG486" s="56"/>
      <c r="AH486" s="47"/>
      <c r="AI486" s="47"/>
      <c r="AJ486" s="47"/>
      <c r="AK486" s="47"/>
      <c r="AL486" s="47"/>
      <c r="AM486" s="47"/>
      <c r="AN486" s="47"/>
      <c r="AO486" s="47"/>
      <c r="AP486" s="47"/>
      <c r="AQ486" s="47"/>
      <c r="AR486" s="47"/>
      <c r="AS486" s="47"/>
      <c r="AT486" s="47"/>
      <c r="AU486" s="47"/>
      <c r="AV486" s="47"/>
      <c r="AW486" s="47"/>
      <c r="AX486" s="47"/>
      <c r="AY486" s="47"/>
      <c r="AZ486" s="47"/>
      <c r="BA486" s="47"/>
    </row>
    <row r="487" spans="2:53" x14ac:dyDescent="0.25">
      <c r="B487" s="55"/>
      <c r="C487" s="56"/>
      <c r="D487" s="56"/>
      <c r="E487" s="56"/>
      <c r="F487" s="56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54"/>
      <c r="AB487" s="54"/>
      <c r="AC487" s="55"/>
      <c r="AD487" s="56"/>
      <c r="AE487" s="56"/>
      <c r="AF487" s="56"/>
      <c r="AG487" s="56"/>
      <c r="AH487" s="47"/>
      <c r="AI487" s="47"/>
      <c r="AJ487" s="47"/>
      <c r="AK487" s="47"/>
      <c r="AL487" s="47"/>
      <c r="AM487" s="47"/>
      <c r="AN487" s="47"/>
      <c r="AO487" s="47"/>
      <c r="AP487" s="47"/>
      <c r="AQ487" s="47"/>
      <c r="AR487" s="47"/>
      <c r="AS487" s="47"/>
      <c r="AT487" s="47"/>
      <c r="AU487" s="47"/>
      <c r="AV487" s="47"/>
      <c r="AW487" s="47"/>
      <c r="AX487" s="47"/>
      <c r="AY487" s="47"/>
      <c r="AZ487" s="47"/>
      <c r="BA487" s="47"/>
    </row>
    <row r="488" spans="2:53" x14ac:dyDescent="0.25">
      <c r="B488" s="55"/>
      <c r="C488" s="56"/>
      <c r="D488" s="56"/>
      <c r="E488" s="56"/>
      <c r="F488" s="56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54"/>
      <c r="AB488" s="54"/>
      <c r="AC488" s="55"/>
      <c r="AD488" s="56"/>
      <c r="AE488" s="56"/>
      <c r="AF488" s="56"/>
      <c r="AG488" s="56"/>
      <c r="AH488" s="47"/>
      <c r="AI488" s="47"/>
      <c r="AJ488" s="47"/>
      <c r="AK488" s="47"/>
      <c r="AL488" s="47"/>
      <c r="AM488" s="47"/>
      <c r="AN488" s="47"/>
      <c r="AO488" s="47"/>
      <c r="AP488" s="47"/>
      <c r="AQ488" s="47"/>
      <c r="AR488" s="47"/>
      <c r="AS488" s="47"/>
      <c r="AT488" s="47"/>
      <c r="AU488" s="47"/>
      <c r="AV488" s="47"/>
      <c r="AW488" s="47"/>
      <c r="AX488" s="47"/>
      <c r="AY488" s="47"/>
      <c r="AZ488" s="47"/>
      <c r="BA488" s="47"/>
    </row>
    <row r="489" spans="2:53" x14ac:dyDescent="0.25">
      <c r="B489" s="55"/>
      <c r="C489" s="56"/>
      <c r="D489" s="56"/>
      <c r="E489" s="56"/>
      <c r="F489" s="56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54"/>
      <c r="AB489" s="54"/>
      <c r="AC489" s="55"/>
      <c r="AD489" s="56"/>
      <c r="AE489" s="56"/>
      <c r="AF489" s="56"/>
      <c r="AG489" s="56"/>
      <c r="AH489" s="47"/>
      <c r="AI489" s="47"/>
      <c r="AJ489" s="47"/>
      <c r="AK489" s="47"/>
      <c r="AL489" s="47"/>
      <c r="AM489" s="47"/>
      <c r="AN489" s="47"/>
      <c r="AO489" s="47"/>
      <c r="AP489" s="47"/>
      <c r="AQ489" s="47"/>
      <c r="AR489" s="47"/>
      <c r="AS489" s="47"/>
      <c r="AT489" s="47"/>
      <c r="AU489" s="47"/>
      <c r="AV489" s="47"/>
      <c r="AW489" s="47"/>
      <c r="AX489" s="47"/>
      <c r="AY489" s="47"/>
      <c r="AZ489" s="47"/>
      <c r="BA489" s="47"/>
    </row>
    <row r="490" spans="2:53" x14ac:dyDescent="0.25">
      <c r="B490" s="55"/>
      <c r="C490" s="56"/>
      <c r="D490" s="56"/>
      <c r="E490" s="56"/>
      <c r="F490" s="56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54"/>
      <c r="AB490" s="54"/>
      <c r="AC490" s="55"/>
      <c r="AD490" s="56"/>
      <c r="AE490" s="56"/>
      <c r="AF490" s="56"/>
      <c r="AG490" s="56"/>
      <c r="AH490" s="47"/>
      <c r="AI490" s="47"/>
      <c r="AJ490" s="47"/>
      <c r="AK490" s="47"/>
      <c r="AL490" s="47"/>
      <c r="AM490" s="47"/>
      <c r="AN490" s="47"/>
      <c r="AO490" s="47"/>
      <c r="AP490" s="47"/>
      <c r="AQ490" s="47"/>
      <c r="AR490" s="47"/>
      <c r="AS490" s="47"/>
      <c r="AT490" s="47"/>
      <c r="AU490" s="47"/>
      <c r="AV490" s="47"/>
      <c r="AW490" s="47"/>
      <c r="AX490" s="47"/>
      <c r="AY490" s="47"/>
      <c r="AZ490" s="47"/>
      <c r="BA490" s="47"/>
    </row>
    <row r="491" spans="2:53" x14ac:dyDescent="0.25">
      <c r="B491" s="55"/>
      <c r="C491" s="56"/>
      <c r="D491" s="56"/>
      <c r="E491" s="56"/>
      <c r="F491" s="56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54"/>
      <c r="AB491" s="54"/>
      <c r="AC491" s="55"/>
      <c r="AD491" s="56"/>
      <c r="AE491" s="56"/>
      <c r="AF491" s="56"/>
      <c r="AG491" s="56"/>
      <c r="AH491" s="47"/>
      <c r="AI491" s="47"/>
      <c r="AJ491" s="47"/>
      <c r="AK491" s="47"/>
      <c r="AL491" s="47"/>
      <c r="AM491" s="47"/>
      <c r="AN491" s="47"/>
      <c r="AO491" s="47"/>
      <c r="AP491" s="47"/>
      <c r="AQ491" s="47"/>
      <c r="AR491" s="47"/>
      <c r="AS491" s="47"/>
      <c r="AT491" s="47"/>
      <c r="AU491" s="47"/>
      <c r="AV491" s="47"/>
      <c r="AW491" s="47"/>
      <c r="AX491" s="47"/>
      <c r="AY491" s="47"/>
      <c r="AZ491" s="47"/>
      <c r="BA491" s="47"/>
    </row>
    <row r="492" spans="2:53" x14ac:dyDescent="0.25">
      <c r="B492" s="55"/>
      <c r="C492" s="56"/>
      <c r="D492" s="56"/>
      <c r="E492" s="56"/>
      <c r="F492" s="56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54"/>
      <c r="AB492" s="54"/>
      <c r="AC492" s="55"/>
      <c r="AD492" s="56"/>
      <c r="AE492" s="56"/>
      <c r="AF492" s="56"/>
      <c r="AG492" s="56"/>
      <c r="AH492" s="47"/>
      <c r="AI492" s="47"/>
      <c r="AJ492" s="47"/>
      <c r="AK492" s="47"/>
      <c r="AL492" s="47"/>
      <c r="AM492" s="47"/>
      <c r="AN492" s="47"/>
      <c r="AO492" s="47"/>
      <c r="AP492" s="47"/>
      <c r="AQ492" s="47"/>
      <c r="AR492" s="47"/>
      <c r="AS492" s="47"/>
      <c r="AT492" s="47"/>
      <c r="AU492" s="47"/>
      <c r="AV492" s="47"/>
      <c r="AW492" s="47"/>
      <c r="AX492" s="47"/>
      <c r="AY492" s="47"/>
      <c r="AZ492" s="47"/>
      <c r="BA492" s="47"/>
    </row>
    <row r="493" spans="2:53" x14ac:dyDescent="0.25">
      <c r="B493" s="55"/>
      <c r="C493" s="56"/>
      <c r="D493" s="56"/>
      <c r="E493" s="56"/>
      <c r="F493" s="56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54"/>
      <c r="AB493" s="54"/>
      <c r="AC493" s="55"/>
      <c r="AD493" s="56"/>
      <c r="AE493" s="56"/>
      <c r="AF493" s="56"/>
      <c r="AG493" s="56"/>
      <c r="AH493" s="47"/>
      <c r="AI493" s="47"/>
      <c r="AJ493" s="47"/>
      <c r="AK493" s="47"/>
      <c r="AL493" s="47"/>
      <c r="AM493" s="47"/>
      <c r="AN493" s="47"/>
      <c r="AO493" s="47"/>
      <c r="AP493" s="47"/>
      <c r="AQ493" s="47"/>
      <c r="AR493" s="47"/>
      <c r="AS493" s="47"/>
      <c r="AT493" s="47"/>
      <c r="AU493" s="47"/>
      <c r="AV493" s="47"/>
      <c r="AW493" s="47"/>
      <c r="AX493" s="47"/>
      <c r="AY493" s="47"/>
      <c r="AZ493" s="47"/>
      <c r="BA493" s="47"/>
    </row>
    <row r="494" spans="2:53" x14ac:dyDescent="0.25">
      <c r="B494" s="55"/>
      <c r="C494" s="56"/>
      <c r="D494" s="56"/>
      <c r="E494" s="56"/>
      <c r="F494" s="56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4"/>
      <c r="AB494" s="54"/>
      <c r="AC494" s="55"/>
      <c r="AD494" s="56"/>
      <c r="AE494" s="56"/>
      <c r="AF494" s="56"/>
      <c r="AG494" s="56"/>
      <c r="AH494" s="49"/>
      <c r="AI494" s="51"/>
      <c r="AJ494" s="51"/>
      <c r="AK494" s="51"/>
      <c r="AL494" s="51"/>
      <c r="AM494" s="51"/>
      <c r="AN494" s="50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  <c r="BA494" s="51"/>
    </row>
    <row r="495" spans="2:53" x14ac:dyDescent="0.25">
      <c r="B495" s="55"/>
      <c r="C495" s="56"/>
      <c r="D495" s="56"/>
      <c r="E495" s="56"/>
      <c r="F495" s="56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4"/>
      <c r="AB495" s="54"/>
      <c r="AC495" s="55"/>
      <c r="AD495" s="56"/>
      <c r="AE495" s="56"/>
      <c r="AF495" s="56"/>
      <c r="AG495" s="56"/>
      <c r="AH495" s="49"/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  <c r="AZ495" s="51"/>
      <c r="BA495" s="51"/>
    </row>
    <row r="496" spans="2:53" x14ac:dyDescent="0.25">
      <c r="B496" s="55"/>
      <c r="C496" s="56"/>
      <c r="D496" s="56"/>
      <c r="E496" s="56"/>
      <c r="F496" s="56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4"/>
      <c r="AB496" s="54"/>
      <c r="AC496" s="55"/>
      <c r="AD496" s="56"/>
      <c r="AE496" s="56"/>
      <c r="AF496" s="56"/>
      <c r="AG496" s="56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  <c r="BA496" s="51"/>
    </row>
    <row r="497" spans="2:53" x14ac:dyDescent="0.25">
      <c r="B497" s="55"/>
      <c r="C497" s="56"/>
      <c r="D497" s="56"/>
      <c r="E497" s="56"/>
      <c r="F497" s="56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4"/>
      <c r="AB497" s="54"/>
      <c r="AC497" s="55"/>
      <c r="AD497" s="56"/>
      <c r="AE497" s="56"/>
      <c r="AF497" s="56"/>
      <c r="AG497" s="56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  <c r="BA497" s="51"/>
    </row>
    <row r="498" spans="2:53" x14ac:dyDescent="0.25">
      <c r="B498" s="55"/>
      <c r="C498" s="56"/>
      <c r="D498" s="56"/>
      <c r="E498" s="56"/>
      <c r="F498" s="56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4"/>
      <c r="AB498" s="54"/>
      <c r="AC498" s="55"/>
      <c r="AD498" s="56"/>
      <c r="AE498" s="56"/>
      <c r="AF498" s="56"/>
      <c r="AG498" s="56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  <c r="BA498" s="51"/>
    </row>
    <row r="499" spans="2:53" x14ac:dyDescent="0.25">
      <c r="B499" s="55"/>
      <c r="C499" s="56"/>
      <c r="D499" s="56"/>
      <c r="E499" s="56"/>
      <c r="F499" s="56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4"/>
      <c r="AB499" s="54"/>
      <c r="AC499" s="55"/>
      <c r="AD499" s="56"/>
      <c r="AE499" s="56"/>
      <c r="AF499" s="56"/>
      <c r="AG499" s="56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  <c r="AZ499" s="51"/>
      <c r="BA499" s="51"/>
    </row>
    <row r="500" spans="2:53" x14ac:dyDescent="0.25">
      <c r="B500" s="55"/>
      <c r="C500" s="56"/>
      <c r="D500" s="56"/>
      <c r="E500" s="56"/>
      <c r="F500" s="56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4"/>
      <c r="AB500" s="54"/>
      <c r="AC500" s="55"/>
      <c r="AD500" s="56"/>
      <c r="AE500" s="56"/>
      <c r="AF500" s="56"/>
      <c r="AG500" s="56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  <c r="BA500" s="51"/>
    </row>
    <row r="501" spans="2:53" x14ac:dyDescent="0.25">
      <c r="B501" s="55"/>
      <c r="C501" s="56"/>
      <c r="D501" s="56"/>
      <c r="E501" s="56"/>
      <c r="F501" s="56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4"/>
      <c r="AB501" s="54"/>
      <c r="AC501" s="55"/>
      <c r="AD501" s="56"/>
      <c r="AE501" s="56"/>
      <c r="AF501" s="56"/>
      <c r="AG501" s="56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  <c r="AZ501" s="51"/>
      <c r="BA501" s="51"/>
    </row>
    <row r="502" spans="2:53" x14ac:dyDescent="0.25">
      <c r="B502" s="55"/>
      <c r="C502" s="56"/>
      <c r="D502" s="56"/>
      <c r="E502" s="56"/>
      <c r="F502" s="56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4"/>
      <c r="AB502" s="54"/>
      <c r="AC502" s="55"/>
      <c r="AD502" s="56"/>
      <c r="AE502" s="56"/>
      <c r="AF502" s="56"/>
      <c r="AG502" s="56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  <c r="BA502" s="51"/>
    </row>
    <row r="503" spans="2:53" x14ac:dyDescent="0.25">
      <c r="B503" s="55"/>
      <c r="C503" s="56"/>
      <c r="D503" s="56"/>
      <c r="E503" s="56"/>
      <c r="F503" s="56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4"/>
      <c r="AB503" s="54"/>
      <c r="AC503" s="55"/>
      <c r="AD503" s="56"/>
      <c r="AE503" s="56"/>
      <c r="AF503" s="56"/>
      <c r="AG503" s="56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  <c r="AZ503" s="51"/>
      <c r="BA503" s="51"/>
    </row>
    <row r="504" spans="2:53" x14ac:dyDescent="0.25">
      <c r="B504" s="55"/>
      <c r="C504" s="56"/>
      <c r="D504" s="56"/>
      <c r="E504" s="56"/>
      <c r="F504" s="56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4"/>
      <c r="AB504" s="54"/>
      <c r="AC504" s="55"/>
      <c r="AD504" s="56"/>
      <c r="AE504" s="56"/>
      <c r="AF504" s="56"/>
      <c r="AG504" s="56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  <c r="BA504" s="51"/>
    </row>
    <row r="505" spans="2:53" x14ac:dyDescent="0.25">
      <c r="B505" s="55"/>
      <c r="C505" s="56"/>
      <c r="D505" s="56"/>
      <c r="E505" s="56"/>
      <c r="F505" s="56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4"/>
      <c r="AB505" s="54"/>
      <c r="AC505" s="55"/>
      <c r="AD505" s="56"/>
      <c r="AE505" s="56"/>
      <c r="AF505" s="56"/>
      <c r="AG505" s="56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</row>
    <row r="506" spans="2:53" x14ac:dyDescent="0.25">
      <c r="B506" s="55"/>
      <c r="C506" s="56"/>
      <c r="D506" s="56"/>
      <c r="E506" s="56"/>
      <c r="F506" s="56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4"/>
      <c r="AB506" s="54"/>
      <c r="AC506" s="55"/>
      <c r="AD506" s="56"/>
      <c r="AE506" s="56"/>
      <c r="AF506" s="56"/>
      <c r="AG506" s="56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  <c r="BA506" s="51"/>
    </row>
    <row r="507" spans="2:53" x14ac:dyDescent="0.25">
      <c r="B507" s="55"/>
      <c r="C507" s="56"/>
      <c r="D507" s="56"/>
      <c r="E507" s="56"/>
      <c r="F507" s="56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4"/>
      <c r="AB507" s="54"/>
      <c r="AC507" s="55"/>
      <c r="AD507" s="56"/>
      <c r="AE507" s="56"/>
      <c r="AF507" s="56"/>
      <c r="AG507" s="56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  <c r="AZ507" s="51"/>
      <c r="BA507" s="51"/>
    </row>
    <row r="508" spans="2:53" x14ac:dyDescent="0.25">
      <c r="B508" s="55"/>
      <c r="C508" s="56"/>
      <c r="D508" s="56"/>
      <c r="E508" s="56"/>
      <c r="F508" s="56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4"/>
      <c r="AB508" s="54"/>
      <c r="AC508" s="55"/>
      <c r="AD508" s="56"/>
      <c r="AE508" s="56"/>
      <c r="AF508" s="56"/>
      <c r="AG508" s="56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  <c r="BA508" s="51"/>
    </row>
    <row r="509" spans="2:53" x14ac:dyDescent="0.25">
      <c r="B509" s="55"/>
      <c r="C509" s="56"/>
      <c r="D509" s="56"/>
      <c r="E509" s="56"/>
      <c r="F509" s="56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4"/>
      <c r="AB509" s="54"/>
      <c r="AC509" s="55"/>
      <c r="AD509" s="56"/>
      <c r="AE509" s="56"/>
      <c r="AF509" s="56"/>
      <c r="AG509" s="56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  <c r="AZ509" s="51"/>
      <c r="BA509" s="51"/>
    </row>
    <row r="510" spans="2:53" x14ac:dyDescent="0.25">
      <c r="B510" s="55"/>
      <c r="C510" s="56"/>
      <c r="D510" s="56"/>
      <c r="E510" s="56"/>
      <c r="F510" s="56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4"/>
      <c r="AB510" s="54"/>
      <c r="AC510" s="55"/>
      <c r="AD510" s="56"/>
      <c r="AE510" s="56"/>
      <c r="AF510" s="56"/>
      <c r="AG510" s="56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  <c r="BA510" s="51"/>
    </row>
    <row r="511" spans="2:53" x14ac:dyDescent="0.25">
      <c r="B511" s="55"/>
      <c r="C511" s="56"/>
      <c r="D511" s="56"/>
      <c r="E511" s="56"/>
      <c r="F511" s="56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4"/>
      <c r="AB511" s="54"/>
      <c r="AC511" s="55"/>
      <c r="AD511" s="56"/>
      <c r="AE511" s="56"/>
      <c r="AF511" s="56"/>
      <c r="AG511" s="56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  <c r="AZ511" s="51"/>
      <c r="BA511" s="51"/>
    </row>
    <row r="512" spans="2:53" x14ac:dyDescent="0.25">
      <c r="B512" s="55"/>
      <c r="C512" s="56"/>
      <c r="D512" s="56"/>
      <c r="E512" s="56"/>
      <c r="F512" s="56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4"/>
      <c r="AB512" s="54"/>
      <c r="AC512" s="55"/>
      <c r="AD512" s="56"/>
      <c r="AE512" s="56"/>
      <c r="AF512" s="56"/>
      <c r="AG512" s="56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  <c r="BA512" s="51"/>
    </row>
    <row r="513" spans="2:53" x14ac:dyDescent="0.25">
      <c r="B513" s="55"/>
      <c r="C513" s="56"/>
      <c r="D513" s="56"/>
      <c r="E513" s="56"/>
      <c r="F513" s="56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4"/>
      <c r="AB513" s="54"/>
      <c r="AC513" s="55"/>
      <c r="AD513" s="56"/>
      <c r="AE513" s="56"/>
      <c r="AF513" s="56"/>
      <c r="AG513" s="56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  <c r="AZ513" s="51"/>
      <c r="BA513" s="51"/>
    </row>
    <row r="514" spans="2:53" x14ac:dyDescent="0.25">
      <c r="B514" s="55"/>
      <c r="C514" s="56"/>
      <c r="D514" s="56"/>
      <c r="E514" s="56"/>
      <c r="F514" s="56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4"/>
      <c r="AB514" s="54"/>
      <c r="AC514" s="55"/>
      <c r="AD514" s="56"/>
      <c r="AE514" s="56"/>
      <c r="AF514" s="56"/>
      <c r="AG514" s="56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  <c r="BA514" s="51"/>
    </row>
    <row r="515" spans="2:53" x14ac:dyDescent="0.25">
      <c r="B515" s="55"/>
      <c r="C515" s="56"/>
      <c r="D515" s="56"/>
      <c r="E515" s="56"/>
      <c r="F515" s="56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4"/>
      <c r="AB515" s="54"/>
      <c r="AC515" s="55"/>
      <c r="AD515" s="56"/>
      <c r="AE515" s="56"/>
      <c r="AF515" s="56"/>
      <c r="AG515" s="56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  <c r="AZ515" s="51"/>
      <c r="BA515" s="51"/>
    </row>
    <row r="516" spans="2:53" x14ac:dyDescent="0.25">
      <c r="B516" s="55"/>
      <c r="C516" s="56"/>
      <c r="D516" s="56"/>
      <c r="E516" s="56"/>
      <c r="F516" s="56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4"/>
      <c r="AB516" s="54"/>
      <c r="AC516" s="55"/>
      <c r="AD516" s="56"/>
      <c r="AE516" s="56"/>
      <c r="AF516" s="56"/>
      <c r="AG516" s="56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  <c r="BA516" s="51"/>
    </row>
    <row r="517" spans="2:53" x14ac:dyDescent="0.25">
      <c r="B517" s="55"/>
      <c r="C517" s="56"/>
      <c r="D517" s="56"/>
      <c r="E517" s="56"/>
      <c r="F517" s="56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4"/>
      <c r="AB517" s="54"/>
      <c r="AC517" s="55"/>
      <c r="AD517" s="56"/>
      <c r="AE517" s="56"/>
      <c r="AF517" s="56"/>
      <c r="AG517" s="56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  <c r="AZ517" s="51"/>
      <c r="BA517" s="51"/>
    </row>
    <row r="518" spans="2:53" x14ac:dyDescent="0.25">
      <c r="B518" s="55"/>
      <c r="C518" s="56"/>
      <c r="D518" s="56"/>
      <c r="E518" s="56"/>
      <c r="F518" s="56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4"/>
      <c r="AB518" s="54"/>
      <c r="AC518" s="55"/>
      <c r="AD518" s="56"/>
      <c r="AE518" s="56"/>
      <c r="AF518" s="56"/>
      <c r="AG518" s="56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  <c r="BA518" s="51"/>
    </row>
    <row r="519" spans="2:53" x14ac:dyDescent="0.25">
      <c r="B519" s="55"/>
      <c r="C519" s="56"/>
      <c r="D519" s="56"/>
      <c r="E519" s="56"/>
      <c r="F519" s="56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4"/>
      <c r="AB519" s="54"/>
      <c r="AC519" s="55"/>
      <c r="AD519" s="56"/>
      <c r="AE519" s="56"/>
      <c r="AF519" s="56"/>
      <c r="AG519" s="56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1"/>
    </row>
    <row r="520" spans="2:53" x14ac:dyDescent="0.25">
      <c r="B520" s="55"/>
      <c r="C520" s="56"/>
      <c r="D520" s="56"/>
      <c r="E520" s="56"/>
      <c r="F520" s="56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4"/>
      <c r="AB520" s="54"/>
      <c r="AC520" s="55"/>
      <c r="AD520" s="56"/>
      <c r="AE520" s="56"/>
      <c r="AF520" s="56"/>
      <c r="AG520" s="56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  <c r="BA520" s="51"/>
    </row>
    <row r="521" spans="2:53" x14ac:dyDescent="0.25">
      <c r="B521" s="55"/>
      <c r="C521" s="56"/>
      <c r="D521" s="56"/>
      <c r="E521" s="56"/>
      <c r="F521" s="56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4"/>
      <c r="AB521" s="54"/>
      <c r="AC521" s="55"/>
      <c r="AD521" s="56"/>
      <c r="AE521" s="56"/>
      <c r="AF521" s="56"/>
      <c r="AG521" s="56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  <c r="BA521" s="51"/>
    </row>
    <row r="522" spans="2:53" x14ac:dyDescent="0.25">
      <c r="B522" s="55"/>
      <c r="C522" s="56"/>
      <c r="D522" s="56"/>
      <c r="E522" s="56"/>
      <c r="F522" s="56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4"/>
      <c r="AB522" s="54"/>
      <c r="AC522" s="55"/>
      <c r="AD522" s="56"/>
      <c r="AE522" s="56"/>
      <c r="AF522" s="56"/>
      <c r="AG522" s="56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  <c r="BA522" s="51"/>
    </row>
    <row r="523" spans="2:53" x14ac:dyDescent="0.25">
      <c r="B523" s="55"/>
      <c r="C523" s="56"/>
      <c r="D523" s="56"/>
      <c r="E523" s="56"/>
      <c r="F523" s="56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4"/>
      <c r="AB523" s="54"/>
      <c r="AC523" s="55"/>
      <c r="AD523" s="56"/>
      <c r="AE523" s="56"/>
      <c r="AF523" s="56"/>
      <c r="AG523" s="56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</row>
    <row r="524" spans="2:53" x14ac:dyDescent="0.25">
      <c r="B524" s="55"/>
      <c r="C524" s="56"/>
      <c r="D524" s="56"/>
      <c r="E524" s="56"/>
      <c r="F524" s="56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4"/>
      <c r="AB524" s="54"/>
      <c r="AC524" s="55"/>
      <c r="AD524" s="56"/>
      <c r="AE524" s="56"/>
      <c r="AF524" s="56"/>
      <c r="AG524" s="56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/>
    </row>
    <row r="525" spans="2:53" x14ac:dyDescent="0.25">
      <c r="B525" s="55"/>
      <c r="C525" s="56"/>
      <c r="D525" s="56"/>
      <c r="E525" s="56"/>
      <c r="F525" s="56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4"/>
      <c r="AB525" s="54"/>
      <c r="AC525" s="55"/>
      <c r="AD525" s="56"/>
      <c r="AE525" s="56"/>
      <c r="AF525" s="56"/>
      <c r="AG525" s="56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</row>
    <row r="526" spans="2:53" x14ac:dyDescent="0.25">
      <c r="B526" s="55"/>
      <c r="C526" s="56"/>
      <c r="D526" s="56"/>
      <c r="E526" s="56"/>
      <c r="F526" s="56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4"/>
      <c r="AB526" s="54"/>
      <c r="AC526" s="55"/>
      <c r="AD526" s="56"/>
      <c r="AE526" s="56"/>
      <c r="AF526" s="56"/>
      <c r="AG526" s="56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</row>
    <row r="527" spans="2:53" x14ac:dyDescent="0.25">
      <c r="B527" s="55"/>
      <c r="C527" s="56"/>
      <c r="D527" s="56"/>
      <c r="E527" s="56"/>
      <c r="F527" s="56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4"/>
      <c r="AB527" s="54"/>
      <c r="AC527" s="55"/>
      <c r="AD527" s="56"/>
      <c r="AE527" s="56"/>
      <c r="AF527" s="56"/>
      <c r="AG527" s="56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</row>
    <row r="528" spans="2:53" x14ac:dyDescent="0.25">
      <c r="B528" s="55"/>
      <c r="C528" s="56"/>
      <c r="D528" s="56"/>
      <c r="E528" s="56"/>
      <c r="F528" s="56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4"/>
      <c r="AB528" s="54"/>
      <c r="AC528" s="55"/>
      <c r="AD528" s="56"/>
      <c r="AE528" s="56"/>
      <c r="AF528" s="56"/>
      <c r="AG528" s="56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</row>
    <row r="529" spans="2:53" x14ac:dyDescent="0.25">
      <c r="B529" s="55"/>
      <c r="C529" s="56"/>
      <c r="D529" s="56"/>
      <c r="E529" s="56"/>
      <c r="F529" s="56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4"/>
      <c r="AB529" s="54"/>
      <c r="AC529" s="55"/>
      <c r="AD529" s="56"/>
      <c r="AE529" s="56"/>
      <c r="AF529" s="56"/>
      <c r="AG529" s="56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</row>
    <row r="530" spans="2:53" x14ac:dyDescent="0.25">
      <c r="B530" s="55"/>
      <c r="C530" s="56"/>
      <c r="D530" s="56"/>
      <c r="E530" s="56"/>
      <c r="F530" s="56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4"/>
      <c r="AB530" s="54"/>
      <c r="AC530" s="55"/>
      <c r="AD530" s="56"/>
      <c r="AE530" s="56"/>
      <c r="AF530" s="56"/>
      <c r="AG530" s="56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</row>
    <row r="531" spans="2:53" x14ac:dyDescent="0.25">
      <c r="B531" s="55"/>
      <c r="C531" s="56"/>
      <c r="D531" s="56"/>
      <c r="E531" s="56"/>
      <c r="F531" s="56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  <c r="AA531" s="54"/>
      <c r="AB531" s="54"/>
      <c r="AC531" s="55"/>
      <c r="AD531" s="56"/>
      <c r="AE531" s="56"/>
      <c r="AF531" s="56"/>
      <c r="AG531" s="56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</row>
    <row r="532" spans="2:53" x14ac:dyDescent="0.25">
      <c r="B532" s="55"/>
      <c r="C532" s="56"/>
      <c r="D532" s="56"/>
      <c r="E532" s="56"/>
      <c r="F532" s="56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4"/>
      <c r="AB532" s="54"/>
      <c r="AC532" s="55"/>
      <c r="AD532" s="56"/>
      <c r="AE532" s="56"/>
      <c r="AF532" s="56"/>
      <c r="AG532" s="56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</row>
    <row r="533" spans="2:53" x14ac:dyDescent="0.25">
      <c r="B533" s="55"/>
      <c r="C533" s="56"/>
      <c r="D533" s="56"/>
      <c r="E533" s="56"/>
      <c r="F533" s="56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4"/>
      <c r="AB533" s="54"/>
      <c r="AC533" s="55"/>
      <c r="AD533" s="56"/>
      <c r="AE533" s="56"/>
      <c r="AF533" s="56"/>
      <c r="AG533" s="56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</row>
    <row r="534" spans="2:53" x14ac:dyDescent="0.25">
      <c r="B534" s="55"/>
      <c r="C534" s="56"/>
      <c r="D534" s="56"/>
      <c r="E534" s="56"/>
      <c r="F534" s="56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4"/>
      <c r="AB534" s="54"/>
      <c r="AC534" s="55"/>
      <c r="AD534" s="56"/>
      <c r="AE534" s="56"/>
      <c r="AF534" s="56"/>
      <c r="AG534" s="56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</row>
    <row r="535" spans="2:53" x14ac:dyDescent="0.25">
      <c r="B535" s="55"/>
      <c r="C535" s="56"/>
      <c r="D535" s="56"/>
      <c r="E535" s="56"/>
      <c r="F535" s="56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4"/>
      <c r="AB535" s="54"/>
      <c r="AC535" s="55"/>
      <c r="AD535" s="56"/>
      <c r="AE535" s="56"/>
      <c r="AF535" s="56"/>
      <c r="AG535" s="56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</row>
    <row r="536" spans="2:53" x14ac:dyDescent="0.25">
      <c r="B536" s="55"/>
      <c r="C536" s="56"/>
      <c r="D536" s="56"/>
      <c r="E536" s="56"/>
      <c r="F536" s="56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4"/>
      <c r="AB536" s="54"/>
      <c r="AC536" s="55"/>
      <c r="AD536" s="56"/>
      <c r="AE536" s="56"/>
      <c r="AF536" s="56"/>
      <c r="AG536" s="56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</row>
    <row r="537" spans="2:53" x14ac:dyDescent="0.25">
      <c r="B537" s="55"/>
      <c r="C537" s="56"/>
      <c r="D537" s="56"/>
      <c r="E537" s="56"/>
      <c r="F537" s="56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4"/>
      <c r="AB537" s="54"/>
      <c r="AC537" s="55"/>
      <c r="AD537" s="56"/>
      <c r="AE537" s="56"/>
      <c r="AF537" s="56"/>
      <c r="AG537" s="56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</row>
    <row r="538" spans="2:53" x14ac:dyDescent="0.25">
      <c r="B538" s="55"/>
      <c r="C538" s="56"/>
      <c r="D538" s="56"/>
      <c r="E538" s="56"/>
      <c r="F538" s="56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4"/>
      <c r="AB538" s="54"/>
      <c r="AC538" s="55"/>
      <c r="AD538" s="56"/>
      <c r="AE538" s="56"/>
      <c r="AF538" s="56"/>
      <c r="AG538" s="56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</row>
    <row r="539" spans="2:53" x14ac:dyDescent="0.25">
      <c r="B539" s="55"/>
      <c r="C539" s="56"/>
      <c r="D539" s="56"/>
      <c r="E539" s="56"/>
      <c r="F539" s="56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4"/>
      <c r="AB539" s="54"/>
      <c r="AC539" s="55"/>
      <c r="AD539" s="56"/>
      <c r="AE539" s="56"/>
      <c r="AF539" s="56"/>
      <c r="AG539" s="56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</row>
    <row r="540" spans="2:53" x14ac:dyDescent="0.25">
      <c r="B540" s="55"/>
      <c r="C540" s="56"/>
      <c r="D540" s="56"/>
      <c r="E540" s="56"/>
      <c r="F540" s="56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  <c r="AA540" s="54"/>
      <c r="AB540" s="54"/>
      <c r="AC540" s="55"/>
      <c r="AD540" s="56"/>
      <c r="AE540" s="56"/>
      <c r="AF540" s="56"/>
      <c r="AG540" s="56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</row>
    <row r="541" spans="2:53" x14ac:dyDescent="0.25">
      <c r="B541" s="55"/>
      <c r="C541" s="56"/>
      <c r="D541" s="56"/>
      <c r="E541" s="56"/>
      <c r="F541" s="56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  <c r="AA541" s="54"/>
      <c r="AB541" s="54"/>
      <c r="AC541" s="55"/>
      <c r="AD541" s="56"/>
      <c r="AE541" s="56"/>
      <c r="AF541" s="56"/>
      <c r="AG541" s="56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</row>
    <row r="542" spans="2:53" x14ac:dyDescent="0.25">
      <c r="B542" s="55"/>
      <c r="C542" s="56"/>
      <c r="D542" s="56"/>
      <c r="E542" s="56"/>
      <c r="F542" s="56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  <c r="AA542" s="54"/>
      <c r="AB542" s="54"/>
      <c r="AC542" s="55"/>
      <c r="AD542" s="56"/>
      <c r="AE542" s="56"/>
      <c r="AF542" s="56"/>
      <c r="AG542" s="56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</row>
    <row r="543" spans="2:53" x14ac:dyDescent="0.25">
      <c r="B543" s="55"/>
      <c r="C543" s="56"/>
      <c r="D543" s="56"/>
      <c r="E543" s="56"/>
      <c r="F543" s="56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  <c r="AA543" s="54"/>
      <c r="AB543" s="54"/>
      <c r="AC543" s="55"/>
      <c r="AD543" s="56"/>
      <c r="AE543" s="56"/>
      <c r="AF543" s="56"/>
      <c r="AG543" s="56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</row>
    <row r="544" spans="2:53" x14ac:dyDescent="0.25">
      <c r="B544" s="55"/>
      <c r="C544" s="56"/>
      <c r="D544" s="56"/>
      <c r="E544" s="56"/>
      <c r="F544" s="56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  <c r="AA544" s="54"/>
      <c r="AB544" s="54"/>
      <c r="AC544" s="55"/>
      <c r="AD544" s="56"/>
      <c r="AE544" s="56"/>
      <c r="AF544" s="56"/>
      <c r="AG544" s="56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</row>
    <row r="545" spans="2:53" x14ac:dyDescent="0.25">
      <c r="B545" s="55"/>
      <c r="C545" s="56"/>
      <c r="D545" s="56"/>
      <c r="E545" s="56"/>
      <c r="F545" s="56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  <c r="AA545" s="54"/>
      <c r="AB545" s="54"/>
      <c r="AC545" s="55"/>
      <c r="AD545" s="56"/>
      <c r="AE545" s="56"/>
      <c r="AF545" s="56"/>
      <c r="AG545" s="56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</row>
    <row r="546" spans="2:53" x14ac:dyDescent="0.25">
      <c r="B546" s="55"/>
      <c r="C546" s="56"/>
      <c r="D546" s="56"/>
      <c r="E546" s="56"/>
      <c r="F546" s="56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  <c r="AA546" s="54"/>
      <c r="AB546" s="54"/>
      <c r="AC546" s="55"/>
      <c r="AD546" s="56"/>
      <c r="AE546" s="56"/>
      <c r="AF546" s="56"/>
      <c r="AG546" s="56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</row>
    <row r="547" spans="2:53" x14ac:dyDescent="0.25">
      <c r="B547" s="55"/>
      <c r="C547" s="56"/>
      <c r="D547" s="56"/>
      <c r="E547" s="56"/>
      <c r="F547" s="56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  <c r="AA547" s="54"/>
      <c r="AB547" s="54"/>
      <c r="AC547" s="55"/>
      <c r="AD547" s="56"/>
      <c r="AE547" s="56"/>
      <c r="AF547" s="56"/>
      <c r="AG547" s="56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</row>
    <row r="548" spans="2:53" x14ac:dyDescent="0.25">
      <c r="B548" s="55"/>
      <c r="C548" s="56"/>
      <c r="D548" s="56"/>
      <c r="E548" s="56"/>
      <c r="F548" s="56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  <c r="AA548" s="54"/>
      <c r="AB548" s="54"/>
      <c r="AC548" s="55"/>
      <c r="AD548" s="56"/>
      <c r="AE548" s="56"/>
      <c r="AF548" s="56"/>
      <c r="AG548" s="56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</row>
    <row r="549" spans="2:53" x14ac:dyDescent="0.25">
      <c r="B549" s="55"/>
      <c r="C549" s="56"/>
      <c r="D549" s="56"/>
      <c r="E549" s="56"/>
      <c r="F549" s="56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  <c r="AA549" s="54"/>
      <c r="AB549" s="54"/>
      <c r="AC549" s="55"/>
      <c r="AD549" s="56"/>
      <c r="AE549" s="56"/>
      <c r="AF549" s="56"/>
      <c r="AG549" s="56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</row>
    <row r="550" spans="2:53" x14ac:dyDescent="0.25">
      <c r="B550" s="55"/>
      <c r="C550" s="56"/>
      <c r="D550" s="56"/>
      <c r="E550" s="56"/>
      <c r="F550" s="56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  <c r="AA550" s="54"/>
      <c r="AB550" s="54"/>
      <c r="AC550" s="55"/>
      <c r="AD550" s="56"/>
      <c r="AE550" s="56"/>
      <c r="AF550" s="56"/>
      <c r="AG550" s="56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</row>
    <row r="551" spans="2:53" x14ac:dyDescent="0.25">
      <c r="B551" s="55"/>
      <c r="C551" s="56"/>
      <c r="D551" s="56"/>
      <c r="E551" s="56"/>
      <c r="F551" s="56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  <c r="AA551" s="54"/>
      <c r="AB551" s="54"/>
      <c r="AC551" s="55"/>
      <c r="AD551" s="56"/>
      <c r="AE551" s="56"/>
      <c r="AF551" s="56"/>
      <c r="AG551" s="56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</row>
    <row r="552" spans="2:53" x14ac:dyDescent="0.25">
      <c r="B552" s="55"/>
      <c r="C552" s="56"/>
      <c r="D552" s="56"/>
      <c r="E552" s="56"/>
      <c r="F552" s="56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  <c r="AA552" s="54"/>
      <c r="AB552" s="54"/>
      <c r="AC552" s="55"/>
      <c r="AD552" s="56"/>
      <c r="AE552" s="56"/>
      <c r="AF552" s="56"/>
      <c r="AG552" s="56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</row>
    <row r="553" spans="2:53" x14ac:dyDescent="0.25">
      <c r="B553" s="55"/>
      <c r="C553" s="56"/>
      <c r="D553" s="56"/>
      <c r="E553" s="56"/>
      <c r="F553" s="56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  <c r="AA553" s="54"/>
      <c r="AB553" s="54"/>
      <c r="AC553" s="55"/>
      <c r="AD553" s="56"/>
      <c r="AE553" s="56"/>
      <c r="AF553" s="56"/>
      <c r="AG553" s="56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</row>
    <row r="554" spans="2:53" x14ac:dyDescent="0.25">
      <c r="B554" s="55"/>
      <c r="C554" s="56"/>
      <c r="D554" s="56"/>
      <c r="E554" s="56"/>
      <c r="F554" s="56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  <c r="AA554" s="54"/>
      <c r="AB554" s="54"/>
      <c r="AC554" s="55"/>
      <c r="AD554" s="56"/>
      <c r="AE554" s="56"/>
      <c r="AF554" s="56"/>
      <c r="AG554" s="56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</row>
    <row r="555" spans="2:53" x14ac:dyDescent="0.25">
      <c r="B555" s="55"/>
      <c r="C555" s="56"/>
      <c r="D555" s="56"/>
      <c r="E555" s="56"/>
      <c r="F555" s="56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  <c r="AA555" s="54"/>
      <c r="AB555" s="54"/>
      <c r="AC555" s="55"/>
      <c r="AD555" s="56"/>
      <c r="AE555" s="56"/>
      <c r="AF555" s="56"/>
      <c r="AG555" s="56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</row>
    <row r="556" spans="2:53" x14ac:dyDescent="0.25">
      <c r="B556" s="55"/>
      <c r="C556" s="56"/>
      <c r="D556" s="56"/>
      <c r="E556" s="56"/>
      <c r="F556" s="56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  <c r="AA556" s="54"/>
      <c r="AB556" s="54"/>
      <c r="AC556" s="55"/>
      <c r="AD556" s="56"/>
      <c r="AE556" s="56"/>
      <c r="AF556" s="56"/>
      <c r="AG556" s="56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</row>
    <row r="557" spans="2:53" x14ac:dyDescent="0.25">
      <c r="B557" s="55"/>
      <c r="C557" s="56"/>
      <c r="D557" s="56"/>
      <c r="E557" s="56"/>
      <c r="F557" s="56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  <c r="AA557" s="54"/>
      <c r="AB557" s="54"/>
      <c r="AC557" s="55"/>
      <c r="AD557" s="56"/>
      <c r="AE557" s="56"/>
      <c r="AF557" s="56"/>
      <c r="AG557" s="56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</row>
    <row r="558" spans="2:53" x14ac:dyDescent="0.25">
      <c r="B558" s="55"/>
      <c r="C558" s="56"/>
      <c r="D558" s="56"/>
      <c r="E558" s="56"/>
      <c r="F558" s="56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  <c r="AA558" s="54"/>
      <c r="AB558" s="54"/>
      <c r="AC558" s="55"/>
      <c r="AD558" s="56"/>
      <c r="AE558" s="56"/>
      <c r="AF558" s="56"/>
      <c r="AG558" s="56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</row>
    <row r="559" spans="2:53" x14ac:dyDescent="0.25">
      <c r="B559" s="55"/>
      <c r="C559" s="56"/>
      <c r="D559" s="56"/>
      <c r="E559" s="56"/>
      <c r="F559" s="56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  <c r="AA559" s="54"/>
      <c r="AB559" s="54"/>
      <c r="AC559" s="55"/>
      <c r="AD559" s="56"/>
      <c r="AE559" s="56"/>
      <c r="AF559" s="56"/>
      <c r="AG559" s="56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</row>
    <row r="560" spans="2:53" x14ac:dyDescent="0.25">
      <c r="B560" s="55"/>
      <c r="C560" s="56"/>
      <c r="D560" s="56"/>
      <c r="E560" s="56"/>
      <c r="F560" s="56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  <c r="AA560" s="54"/>
      <c r="AB560" s="54"/>
      <c r="AC560" s="55"/>
      <c r="AD560" s="56"/>
      <c r="AE560" s="56"/>
      <c r="AF560" s="56"/>
      <c r="AG560" s="56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</row>
    <row r="561" spans="2:53" x14ac:dyDescent="0.25">
      <c r="B561" s="55"/>
      <c r="C561" s="56"/>
      <c r="D561" s="56"/>
      <c r="E561" s="56"/>
      <c r="F561" s="56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  <c r="AA561" s="54"/>
      <c r="AB561" s="54"/>
      <c r="AC561" s="55"/>
      <c r="AD561" s="56"/>
      <c r="AE561" s="56"/>
      <c r="AF561" s="56"/>
      <c r="AG561" s="56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</row>
    <row r="562" spans="2:53" x14ac:dyDescent="0.25">
      <c r="B562" s="55"/>
      <c r="C562" s="56"/>
      <c r="D562" s="56"/>
      <c r="E562" s="56"/>
      <c r="F562" s="56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  <c r="AA562" s="54"/>
      <c r="AB562" s="54"/>
      <c r="AC562" s="55"/>
      <c r="AD562" s="56"/>
      <c r="AE562" s="56"/>
      <c r="AF562" s="56"/>
      <c r="AG562" s="56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</row>
    <row r="563" spans="2:53" x14ac:dyDescent="0.25">
      <c r="B563" s="55"/>
      <c r="C563" s="56"/>
      <c r="D563" s="56"/>
      <c r="E563" s="56"/>
      <c r="F563" s="56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  <c r="AA563" s="54"/>
      <c r="AB563" s="54"/>
      <c r="AC563" s="55"/>
      <c r="AD563" s="56"/>
      <c r="AE563" s="56"/>
      <c r="AF563" s="56"/>
      <c r="AG563" s="56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</row>
    <row r="564" spans="2:53" x14ac:dyDescent="0.25">
      <c r="B564" s="55"/>
      <c r="C564" s="56"/>
      <c r="D564" s="56"/>
      <c r="E564" s="56"/>
      <c r="F564" s="56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  <c r="AA564" s="54"/>
      <c r="AB564" s="54"/>
      <c r="AC564" s="55"/>
      <c r="AD564" s="56"/>
      <c r="AE564" s="56"/>
      <c r="AF564" s="56"/>
      <c r="AG564" s="56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</row>
    <row r="565" spans="2:53" x14ac:dyDescent="0.25">
      <c r="B565" s="55"/>
      <c r="C565" s="56"/>
      <c r="D565" s="56"/>
      <c r="E565" s="56"/>
      <c r="F565" s="56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  <c r="AA565" s="54"/>
      <c r="AB565" s="54"/>
      <c r="AC565" s="55"/>
      <c r="AD565" s="56"/>
      <c r="AE565" s="56"/>
      <c r="AF565" s="56"/>
      <c r="AG565" s="56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</row>
    <row r="566" spans="2:53" x14ac:dyDescent="0.25">
      <c r="B566" s="55"/>
      <c r="C566" s="56"/>
      <c r="D566" s="56"/>
      <c r="E566" s="56"/>
      <c r="F566" s="56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  <c r="AA566" s="54"/>
      <c r="AB566" s="54"/>
      <c r="AC566" s="55"/>
      <c r="AD566" s="56"/>
      <c r="AE566" s="56"/>
      <c r="AF566" s="56"/>
      <c r="AG566" s="56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</row>
    <row r="567" spans="2:53" x14ac:dyDescent="0.25">
      <c r="B567" s="55"/>
      <c r="C567" s="56"/>
      <c r="D567" s="56"/>
      <c r="E567" s="56"/>
      <c r="F567" s="56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  <c r="AA567" s="54"/>
      <c r="AB567" s="54"/>
      <c r="AC567" s="55"/>
      <c r="AD567" s="56"/>
      <c r="AE567" s="56"/>
      <c r="AF567" s="56"/>
      <c r="AG567" s="56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</row>
    <row r="568" spans="2:53" x14ac:dyDescent="0.25">
      <c r="B568" s="55"/>
      <c r="C568" s="56"/>
      <c r="D568" s="56"/>
      <c r="E568" s="56"/>
      <c r="F568" s="56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4"/>
      <c r="AB568" s="54"/>
      <c r="AC568" s="55"/>
      <c r="AD568" s="56"/>
      <c r="AE568" s="56"/>
      <c r="AF568" s="56"/>
      <c r="AG568" s="56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7"/>
      <c r="AT568" s="57"/>
      <c r="AU568" s="57"/>
      <c r="AV568" s="57"/>
      <c r="AW568" s="57"/>
      <c r="AX568" s="57"/>
      <c r="AY568" s="57"/>
      <c r="AZ568" s="57"/>
      <c r="BA568" s="57"/>
    </row>
    <row r="569" spans="2:53" x14ac:dyDescent="0.25">
      <c r="B569" s="55"/>
      <c r="C569" s="56"/>
      <c r="D569" s="56"/>
      <c r="E569" s="56"/>
      <c r="F569" s="56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4"/>
      <c r="AB569" s="54"/>
      <c r="AC569" s="55"/>
      <c r="AD569" s="56"/>
      <c r="AE569" s="56"/>
      <c r="AF569" s="56"/>
      <c r="AG569" s="56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7"/>
      <c r="AT569" s="57"/>
      <c r="AU569" s="57"/>
      <c r="AV569" s="57"/>
      <c r="AW569" s="57"/>
      <c r="AX569" s="57"/>
      <c r="AY569" s="57"/>
      <c r="AZ569" s="57"/>
      <c r="BA569" s="57"/>
    </row>
    <row r="570" spans="2:53" x14ac:dyDescent="0.25">
      <c r="B570" s="55"/>
      <c r="C570" s="56"/>
      <c r="D570" s="56"/>
      <c r="E570" s="56"/>
      <c r="F570" s="56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4"/>
      <c r="AB570" s="54"/>
      <c r="AC570" s="55"/>
      <c r="AD570" s="56"/>
      <c r="AE570" s="56"/>
      <c r="AF570" s="56"/>
      <c r="AG570" s="56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7"/>
      <c r="AT570" s="57"/>
      <c r="AU570" s="57"/>
      <c r="AV570" s="57"/>
      <c r="AW570" s="57"/>
      <c r="AX570" s="57"/>
      <c r="AY570" s="57"/>
      <c r="AZ570" s="57"/>
      <c r="BA570" s="57"/>
    </row>
    <row r="571" spans="2:53" x14ac:dyDescent="0.25">
      <c r="B571" s="55"/>
      <c r="C571" s="56"/>
      <c r="D571" s="56"/>
      <c r="E571" s="56"/>
      <c r="F571" s="56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4"/>
      <c r="AB571" s="54"/>
      <c r="AC571" s="55"/>
      <c r="AD571" s="56"/>
      <c r="AE571" s="56"/>
      <c r="AF571" s="56"/>
      <c r="AG571" s="56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7"/>
      <c r="AT571" s="57"/>
      <c r="AU571" s="57"/>
      <c r="AV571" s="57"/>
      <c r="AW571" s="57"/>
      <c r="AX571" s="57"/>
      <c r="AY571" s="57"/>
      <c r="AZ571" s="57"/>
      <c r="BA571" s="57"/>
    </row>
    <row r="572" spans="2:53" x14ac:dyDescent="0.25">
      <c r="B572" s="55"/>
      <c r="C572" s="56"/>
      <c r="D572" s="56"/>
      <c r="E572" s="56"/>
      <c r="F572" s="56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4"/>
      <c r="AB572" s="54"/>
      <c r="AC572" s="55"/>
      <c r="AD572" s="56"/>
      <c r="AE572" s="56"/>
      <c r="AF572" s="56"/>
      <c r="AG572" s="56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7"/>
      <c r="AT572" s="57"/>
      <c r="AU572" s="57"/>
      <c r="AV572" s="57"/>
      <c r="AW572" s="57"/>
      <c r="AX572" s="57"/>
      <c r="AY572" s="57"/>
      <c r="AZ572" s="57"/>
      <c r="BA572" s="57"/>
    </row>
    <row r="573" spans="2:53" x14ac:dyDescent="0.25">
      <c r="B573" s="55"/>
      <c r="C573" s="56"/>
      <c r="D573" s="56"/>
      <c r="E573" s="56"/>
      <c r="F573" s="56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4"/>
      <c r="AB573" s="54"/>
      <c r="AC573" s="55"/>
      <c r="AD573" s="56"/>
      <c r="AE573" s="56"/>
      <c r="AF573" s="56"/>
      <c r="AG573" s="56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7"/>
      <c r="AT573" s="57"/>
      <c r="AU573" s="57"/>
      <c r="AV573" s="57"/>
      <c r="AW573" s="57"/>
      <c r="AX573" s="57"/>
      <c r="AY573" s="57"/>
      <c r="AZ573" s="57"/>
      <c r="BA573" s="57"/>
    </row>
    <row r="574" spans="2:53" x14ac:dyDescent="0.25">
      <c r="B574" s="55"/>
      <c r="C574" s="56"/>
      <c r="D574" s="56"/>
      <c r="E574" s="56"/>
      <c r="F574" s="56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4"/>
      <c r="AB574" s="54"/>
      <c r="AC574" s="55"/>
      <c r="AD574" s="56"/>
      <c r="AE574" s="56"/>
      <c r="AF574" s="56"/>
      <c r="AG574" s="56"/>
      <c r="AH574" s="58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  <c r="AT574" s="58"/>
      <c r="AU574" s="58"/>
      <c r="AV574" s="58"/>
      <c r="AW574" s="58"/>
      <c r="AX574" s="58"/>
      <c r="AY574" s="58"/>
      <c r="AZ574" s="58"/>
      <c r="BA574" s="58"/>
    </row>
    <row r="575" spans="2:53" x14ac:dyDescent="0.25">
      <c r="B575" s="55"/>
      <c r="C575" s="56"/>
      <c r="D575" s="56"/>
      <c r="E575" s="56"/>
      <c r="F575" s="56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4"/>
      <c r="AB575" s="54"/>
      <c r="AC575" s="55"/>
      <c r="AD575" s="56"/>
      <c r="AE575" s="56"/>
      <c r="AF575" s="56"/>
      <c r="AG575" s="56"/>
      <c r="AH575" s="58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  <c r="AT575" s="58"/>
      <c r="AU575" s="58"/>
      <c r="AV575" s="58"/>
      <c r="AW575" s="58"/>
      <c r="AX575" s="58"/>
      <c r="AY575" s="58"/>
      <c r="AZ575" s="58"/>
      <c r="BA575" s="58"/>
    </row>
    <row r="576" spans="2:53" x14ac:dyDescent="0.25">
      <c r="B576" s="55"/>
      <c r="C576" s="56"/>
      <c r="D576" s="56"/>
      <c r="E576" s="56"/>
      <c r="F576" s="56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4"/>
      <c r="AB576" s="54"/>
      <c r="AC576" s="55"/>
      <c r="AD576" s="56"/>
      <c r="AE576" s="56"/>
      <c r="AF576" s="56"/>
      <c r="AG576" s="56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7"/>
      <c r="AT576" s="57"/>
      <c r="AU576" s="57"/>
      <c r="AV576" s="57"/>
      <c r="AW576" s="57"/>
      <c r="AX576" s="57"/>
      <c r="AY576" s="57"/>
      <c r="AZ576" s="57"/>
      <c r="BA576" s="57"/>
    </row>
    <row r="577" spans="2:53" x14ac:dyDescent="0.25">
      <c r="B577" s="55"/>
      <c r="C577" s="56"/>
      <c r="D577" s="56"/>
      <c r="E577" s="56"/>
      <c r="F577" s="56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4"/>
      <c r="AB577" s="54"/>
      <c r="AC577" s="55"/>
      <c r="AD577" s="56"/>
      <c r="AE577" s="56"/>
      <c r="AF577" s="56"/>
      <c r="AG577" s="56"/>
      <c r="AH577" s="58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  <c r="AT577" s="58"/>
      <c r="AU577" s="58"/>
      <c r="AV577" s="58"/>
      <c r="AW577" s="58"/>
      <c r="AX577" s="58"/>
      <c r="AY577" s="58"/>
      <c r="AZ577" s="58"/>
      <c r="BA577" s="58"/>
    </row>
    <row r="578" spans="2:53" x14ac:dyDescent="0.25">
      <c r="B578" s="55"/>
      <c r="C578" s="56"/>
      <c r="D578" s="56"/>
      <c r="E578" s="56"/>
      <c r="F578" s="56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4"/>
      <c r="AB578" s="54"/>
      <c r="AC578" s="55"/>
      <c r="AD578" s="56"/>
      <c r="AE578" s="56"/>
      <c r="AF578" s="56"/>
      <c r="AG578" s="56"/>
      <c r="AH578" s="58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  <c r="AT578" s="58"/>
      <c r="AU578" s="58"/>
      <c r="AV578" s="58"/>
      <c r="AW578" s="58"/>
      <c r="AX578" s="58"/>
      <c r="AY578" s="58"/>
      <c r="AZ578" s="58"/>
      <c r="BA578" s="58"/>
    </row>
    <row r="579" spans="2:53" x14ac:dyDescent="0.25">
      <c r="B579" s="55"/>
      <c r="C579" s="56"/>
      <c r="D579" s="56"/>
      <c r="E579" s="56"/>
      <c r="F579" s="56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4"/>
      <c r="AB579" s="54"/>
      <c r="AC579" s="55"/>
      <c r="AD579" s="56"/>
      <c r="AE579" s="56"/>
      <c r="AF579" s="56"/>
      <c r="AG579" s="56"/>
      <c r="AH579" s="58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  <c r="AT579" s="58"/>
      <c r="AU579" s="58"/>
      <c r="AV579" s="58"/>
      <c r="AW579" s="58"/>
      <c r="AX579" s="58"/>
      <c r="AY579" s="58"/>
      <c r="AZ579" s="58"/>
      <c r="BA579" s="58"/>
    </row>
    <row r="580" spans="2:53" x14ac:dyDescent="0.25">
      <c r="B580" s="55"/>
      <c r="C580" s="56"/>
      <c r="D580" s="56"/>
      <c r="E580" s="56"/>
      <c r="F580" s="56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4"/>
      <c r="AB580" s="54"/>
      <c r="AC580" s="55"/>
      <c r="AD580" s="56"/>
      <c r="AE580" s="56"/>
      <c r="AF580" s="56"/>
      <c r="AG580" s="56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7"/>
      <c r="AT580" s="57"/>
      <c r="AU580" s="57"/>
      <c r="AV580" s="57"/>
      <c r="AW580" s="57"/>
      <c r="AX580" s="57"/>
      <c r="AY580" s="57"/>
      <c r="AZ580" s="57"/>
      <c r="BA580" s="57"/>
    </row>
    <row r="581" spans="2:53" x14ac:dyDescent="0.25">
      <c r="B581" s="55"/>
      <c r="C581" s="56"/>
      <c r="D581" s="56"/>
      <c r="E581" s="56"/>
      <c r="F581" s="56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4"/>
      <c r="AB581" s="54"/>
      <c r="AC581" s="55"/>
      <c r="AD581" s="56"/>
      <c r="AE581" s="56"/>
      <c r="AF581" s="56"/>
      <c r="AG581" s="56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7"/>
      <c r="AT581" s="57"/>
      <c r="AU581" s="57"/>
      <c r="AV581" s="57"/>
      <c r="AW581" s="57"/>
      <c r="AX581" s="57"/>
      <c r="AY581" s="57"/>
      <c r="AZ581" s="57"/>
      <c r="BA581" s="57"/>
    </row>
  </sheetData>
  <mergeCells count="2">
    <mergeCell ref="B1:Z2"/>
    <mergeCell ref="AC1:BA2"/>
  </mergeCells>
  <conditionalFormatting sqref="E310:F340">
    <cfRule type="containsBlanks" priority="1710">
      <formula>LEN(TRIM(E310))=0</formula>
    </cfRule>
  </conditionalFormatting>
  <conditionalFormatting sqref="E310:E340">
    <cfRule type="notContainsBlanks" priority="1709">
      <formula>LEN(TRIM(E310))&gt;0</formula>
    </cfRule>
  </conditionalFormatting>
  <conditionalFormatting sqref="AF310:AG340">
    <cfRule type="containsBlanks" priority="1708">
      <formula>LEN(TRIM(AF310))=0</formula>
    </cfRule>
  </conditionalFormatting>
  <conditionalFormatting sqref="AF310:AF340">
    <cfRule type="notContainsBlanks" priority="1707">
      <formula>LEN(TRIM(AF310))&gt;0</formula>
    </cfRule>
  </conditionalFormatting>
  <conditionalFormatting sqref="E310:F340">
    <cfRule type="containsBlanks" dxfId="292" priority="1706">
      <formula>LEN(TRIM(E310))=0</formula>
    </cfRule>
  </conditionalFormatting>
  <conditionalFormatting sqref="G310:Z340">
    <cfRule type="cellIs" dxfId="291" priority="1703" operator="lessThan">
      <formula>1</formula>
    </cfRule>
    <cfRule type="cellIs" dxfId="290" priority="1704" operator="greaterThan">
      <formula>4</formula>
    </cfRule>
    <cfRule type="containsBlanks" dxfId="289" priority="1705">
      <formula>LEN(TRIM(G310))=0</formula>
    </cfRule>
  </conditionalFormatting>
  <conditionalFormatting sqref="AF310:AG340">
    <cfRule type="containsBlanks" dxfId="288" priority="1702">
      <formula>LEN(TRIM(AF310))=0</formula>
    </cfRule>
  </conditionalFormatting>
  <conditionalFormatting sqref="AH310:BA340">
    <cfRule type="cellIs" dxfId="287" priority="1699" operator="lessThan">
      <formula>1</formula>
    </cfRule>
    <cfRule type="cellIs" dxfId="286" priority="1700" operator="greaterThan">
      <formula>4</formula>
    </cfRule>
    <cfRule type="containsBlanks" dxfId="285" priority="1701">
      <formula>LEN(TRIM(AH310))=0</formula>
    </cfRule>
  </conditionalFormatting>
  <conditionalFormatting sqref="E310:F340">
    <cfRule type="containsBlanks" dxfId="284" priority="1698">
      <formula>LEN(TRIM(E310))=0</formula>
    </cfRule>
  </conditionalFormatting>
  <conditionalFormatting sqref="G310:Z340">
    <cfRule type="cellIs" dxfId="283" priority="1695" operator="lessThan">
      <formula>1</formula>
    </cfRule>
    <cfRule type="cellIs" dxfId="282" priority="1696" operator="greaterThan">
      <formula>4</formula>
    </cfRule>
    <cfRule type="containsBlanks" dxfId="281" priority="1697">
      <formula>LEN(TRIM(G310))=0</formula>
    </cfRule>
  </conditionalFormatting>
  <conditionalFormatting sqref="AF310:AG340">
    <cfRule type="containsBlanks" dxfId="280" priority="1694">
      <formula>LEN(TRIM(AF310))=0</formula>
    </cfRule>
  </conditionalFormatting>
  <conditionalFormatting sqref="AH310:BA340">
    <cfRule type="cellIs" dxfId="279" priority="1691" operator="lessThan">
      <formula>1</formula>
    </cfRule>
    <cfRule type="cellIs" dxfId="278" priority="1692" operator="greaterThan">
      <formula>4</formula>
    </cfRule>
    <cfRule type="containsBlanks" dxfId="277" priority="1693">
      <formula>LEN(TRIM(AH310))=0</formula>
    </cfRule>
  </conditionalFormatting>
  <conditionalFormatting sqref="E310:F340">
    <cfRule type="containsBlanks" dxfId="276" priority="1690">
      <formula>LEN(TRIM(E310))=0</formula>
    </cfRule>
  </conditionalFormatting>
  <conditionalFormatting sqref="G310:Z340">
    <cfRule type="cellIs" dxfId="275" priority="1687" operator="lessThan">
      <formula>1</formula>
    </cfRule>
    <cfRule type="cellIs" dxfId="274" priority="1688" operator="greaterThan">
      <formula>4</formula>
    </cfRule>
    <cfRule type="containsBlanks" dxfId="273" priority="1689">
      <formula>LEN(TRIM(G310))=0</formula>
    </cfRule>
  </conditionalFormatting>
  <conditionalFormatting sqref="AF310:AG340">
    <cfRule type="containsBlanks" dxfId="272" priority="1686">
      <formula>LEN(TRIM(AF310))=0</formula>
    </cfRule>
  </conditionalFormatting>
  <conditionalFormatting sqref="AH310:BA340">
    <cfRule type="cellIs" dxfId="271" priority="1683" operator="lessThan">
      <formula>1</formula>
    </cfRule>
    <cfRule type="cellIs" dxfId="270" priority="1684" operator="greaterThan">
      <formula>4</formula>
    </cfRule>
    <cfRule type="containsBlanks" dxfId="269" priority="1685">
      <formula>LEN(TRIM(AH310))=0</formula>
    </cfRule>
  </conditionalFormatting>
  <conditionalFormatting sqref="E25:F25">
    <cfRule type="containsBlanks" priority="666">
      <formula>LEN(TRIM(E25))=0</formula>
    </cfRule>
  </conditionalFormatting>
  <conditionalFormatting sqref="E25">
    <cfRule type="notContainsBlanks" priority="665">
      <formula>LEN(TRIM(E25))&gt;0</formula>
    </cfRule>
  </conditionalFormatting>
  <conditionalFormatting sqref="AG25">
    <cfRule type="containsBlanks" priority="664">
      <formula>LEN(TRIM(AG25))=0</formula>
    </cfRule>
  </conditionalFormatting>
  <conditionalFormatting sqref="E25:F25">
    <cfRule type="containsBlanks" dxfId="268" priority="663">
      <formula>LEN(TRIM(E25))=0</formula>
    </cfRule>
  </conditionalFormatting>
  <conditionalFormatting sqref="G25:Z25">
    <cfRule type="cellIs" dxfId="267" priority="660" operator="lessThan">
      <formula>1</formula>
    </cfRule>
    <cfRule type="cellIs" dxfId="266" priority="661" operator="greaterThan">
      <formula>4</formula>
    </cfRule>
    <cfRule type="containsBlanks" dxfId="265" priority="662">
      <formula>LEN(TRIM(G25))=0</formula>
    </cfRule>
  </conditionalFormatting>
  <conditionalFormatting sqref="AG25">
    <cfRule type="containsBlanks" dxfId="264" priority="659">
      <formula>LEN(TRIM(AG25))=0</formula>
    </cfRule>
  </conditionalFormatting>
  <conditionalFormatting sqref="AH25:BA25">
    <cfRule type="cellIs" dxfId="263" priority="656" operator="lessThan">
      <formula>1</formula>
    </cfRule>
    <cfRule type="cellIs" dxfId="262" priority="657" operator="greaterThan">
      <formula>4</formula>
    </cfRule>
    <cfRule type="containsBlanks" dxfId="261" priority="658">
      <formula>LEN(TRIM(AH25))=0</formula>
    </cfRule>
  </conditionalFormatting>
  <conditionalFormatting sqref="E25:F25">
    <cfRule type="containsBlanks" dxfId="260" priority="655">
      <formula>LEN(TRIM(E25))=0</formula>
    </cfRule>
  </conditionalFormatting>
  <conditionalFormatting sqref="G25:Z25">
    <cfRule type="cellIs" dxfId="259" priority="652" operator="lessThan">
      <formula>1</formula>
    </cfRule>
    <cfRule type="cellIs" dxfId="258" priority="653" operator="greaterThan">
      <formula>4</formula>
    </cfRule>
    <cfRule type="containsBlanks" dxfId="257" priority="654">
      <formula>LEN(TRIM(G25))=0</formula>
    </cfRule>
  </conditionalFormatting>
  <conditionalFormatting sqref="AG25">
    <cfRule type="containsBlanks" dxfId="256" priority="651">
      <formula>LEN(TRIM(AG25))=0</formula>
    </cfRule>
  </conditionalFormatting>
  <conditionalFormatting sqref="AH25:BA25">
    <cfRule type="cellIs" dxfId="255" priority="648" operator="lessThan">
      <formula>1</formula>
    </cfRule>
    <cfRule type="cellIs" dxfId="254" priority="649" operator="greaterThan">
      <formula>4</formula>
    </cfRule>
    <cfRule type="containsBlanks" dxfId="253" priority="650">
      <formula>LEN(TRIM(AH25))=0</formula>
    </cfRule>
  </conditionalFormatting>
  <conditionalFormatting sqref="E25:F25">
    <cfRule type="containsBlanks" dxfId="252" priority="647">
      <formula>LEN(TRIM(E25))=0</formula>
    </cfRule>
  </conditionalFormatting>
  <conditionalFormatting sqref="G25:Z25">
    <cfRule type="cellIs" dxfId="251" priority="644" operator="lessThan">
      <formula>1</formula>
    </cfRule>
    <cfRule type="cellIs" dxfId="250" priority="645" operator="greaterThan">
      <formula>4</formula>
    </cfRule>
    <cfRule type="containsBlanks" dxfId="249" priority="646">
      <formula>LEN(TRIM(G25))=0</formula>
    </cfRule>
  </conditionalFormatting>
  <conditionalFormatting sqref="AG25">
    <cfRule type="containsBlanks" dxfId="248" priority="643">
      <formula>LEN(TRIM(AG25))=0</formula>
    </cfRule>
  </conditionalFormatting>
  <conditionalFormatting sqref="AH25:BA25">
    <cfRule type="cellIs" dxfId="247" priority="640" operator="lessThan">
      <formula>1</formula>
    </cfRule>
    <cfRule type="cellIs" dxfId="246" priority="641" operator="greaterThan">
      <formula>4</formula>
    </cfRule>
    <cfRule type="containsBlanks" dxfId="245" priority="642">
      <formula>LEN(TRIM(AH25))=0</formula>
    </cfRule>
  </conditionalFormatting>
  <conditionalFormatting sqref="AF25">
    <cfRule type="containsBlanks" priority="639">
      <formula>LEN(TRIM(AF25))=0</formula>
    </cfRule>
  </conditionalFormatting>
  <conditionalFormatting sqref="AF25">
    <cfRule type="notContainsBlanks" priority="638">
      <formula>LEN(TRIM(AF25))&gt;0</formula>
    </cfRule>
  </conditionalFormatting>
  <conditionalFormatting sqref="AF25">
    <cfRule type="containsBlanks" dxfId="244" priority="637">
      <formula>LEN(TRIM(AF25))=0</formula>
    </cfRule>
  </conditionalFormatting>
  <conditionalFormatting sqref="AF25">
    <cfRule type="containsBlanks" dxfId="243" priority="636">
      <formula>LEN(TRIM(AF25))=0</formula>
    </cfRule>
  </conditionalFormatting>
  <conditionalFormatting sqref="AF25">
    <cfRule type="containsBlanks" dxfId="242" priority="635">
      <formula>LEN(TRIM(AF25))=0</formula>
    </cfRule>
  </conditionalFormatting>
  <conditionalFormatting sqref="E26:F29">
    <cfRule type="containsBlanks" priority="634">
      <formula>LEN(TRIM(E26))=0</formula>
    </cfRule>
  </conditionalFormatting>
  <conditionalFormatting sqref="E26:E29">
    <cfRule type="notContainsBlanks" priority="633">
      <formula>LEN(TRIM(E26))&gt;0</formula>
    </cfRule>
  </conditionalFormatting>
  <conditionalFormatting sqref="AF26:AG29">
    <cfRule type="containsBlanks" priority="632">
      <formula>LEN(TRIM(AF26))=0</formula>
    </cfRule>
  </conditionalFormatting>
  <conditionalFormatting sqref="AF26:AF29">
    <cfRule type="notContainsBlanks" priority="631">
      <formula>LEN(TRIM(AF26))&gt;0</formula>
    </cfRule>
  </conditionalFormatting>
  <conditionalFormatting sqref="E26:F29">
    <cfRule type="containsBlanks" dxfId="241" priority="630">
      <formula>LEN(TRIM(E26))=0</formula>
    </cfRule>
  </conditionalFormatting>
  <conditionalFormatting sqref="G26:Z29">
    <cfRule type="cellIs" dxfId="240" priority="627" operator="lessThan">
      <formula>1</formula>
    </cfRule>
    <cfRule type="cellIs" dxfId="239" priority="628" operator="greaterThan">
      <formula>4</formula>
    </cfRule>
    <cfRule type="containsBlanks" dxfId="238" priority="629">
      <formula>LEN(TRIM(G26))=0</formula>
    </cfRule>
  </conditionalFormatting>
  <conditionalFormatting sqref="AF26:AG29">
    <cfRule type="containsBlanks" dxfId="237" priority="626">
      <formula>LEN(TRIM(AF26))=0</formula>
    </cfRule>
  </conditionalFormatting>
  <conditionalFormatting sqref="AH26:BA29">
    <cfRule type="cellIs" dxfId="236" priority="623" operator="lessThan">
      <formula>1</formula>
    </cfRule>
    <cfRule type="cellIs" dxfId="235" priority="624" operator="greaterThan">
      <formula>4</formula>
    </cfRule>
    <cfRule type="containsBlanks" dxfId="234" priority="625">
      <formula>LEN(TRIM(AH26))=0</formula>
    </cfRule>
  </conditionalFormatting>
  <conditionalFormatting sqref="E26:F29">
    <cfRule type="containsBlanks" dxfId="233" priority="622">
      <formula>LEN(TRIM(E26))=0</formula>
    </cfRule>
  </conditionalFormatting>
  <conditionalFormatting sqref="G26:Z29">
    <cfRule type="cellIs" dxfId="232" priority="619" operator="lessThan">
      <formula>1</formula>
    </cfRule>
    <cfRule type="cellIs" dxfId="231" priority="620" operator="greaterThan">
      <formula>4</formula>
    </cfRule>
    <cfRule type="containsBlanks" dxfId="230" priority="621">
      <formula>LEN(TRIM(G26))=0</formula>
    </cfRule>
  </conditionalFormatting>
  <conditionalFormatting sqref="AF26:AG29">
    <cfRule type="containsBlanks" dxfId="229" priority="618">
      <formula>LEN(TRIM(AF26))=0</formula>
    </cfRule>
  </conditionalFormatting>
  <conditionalFormatting sqref="AH26:BA29">
    <cfRule type="cellIs" dxfId="228" priority="615" operator="lessThan">
      <formula>1</formula>
    </cfRule>
    <cfRule type="cellIs" dxfId="227" priority="616" operator="greaterThan">
      <formula>4</formula>
    </cfRule>
    <cfRule type="containsBlanks" dxfId="226" priority="617">
      <formula>LEN(TRIM(AH26))=0</formula>
    </cfRule>
  </conditionalFormatting>
  <conditionalFormatting sqref="E26:F29">
    <cfRule type="containsBlanks" dxfId="225" priority="614">
      <formula>LEN(TRIM(E26))=0</formula>
    </cfRule>
  </conditionalFormatting>
  <conditionalFormatting sqref="G26:Z29">
    <cfRule type="cellIs" dxfId="224" priority="611" operator="lessThan">
      <formula>1</formula>
    </cfRule>
    <cfRule type="cellIs" dxfId="223" priority="612" operator="greaterThan">
      <formula>4</formula>
    </cfRule>
    <cfRule type="containsBlanks" dxfId="222" priority="613">
      <formula>LEN(TRIM(G26))=0</formula>
    </cfRule>
  </conditionalFormatting>
  <conditionalFormatting sqref="AF26:AG29">
    <cfRule type="containsBlanks" dxfId="221" priority="610">
      <formula>LEN(TRIM(AF26))=0</formula>
    </cfRule>
  </conditionalFormatting>
  <conditionalFormatting sqref="AH26:BA29">
    <cfRule type="cellIs" dxfId="220" priority="607" operator="lessThan">
      <formula>1</formula>
    </cfRule>
    <cfRule type="cellIs" dxfId="219" priority="608" operator="greaterThan">
      <formula>4</formula>
    </cfRule>
    <cfRule type="containsBlanks" dxfId="218" priority="609">
      <formula>LEN(TRIM(AH26))=0</formula>
    </cfRule>
  </conditionalFormatting>
  <conditionalFormatting sqref="E30:F292">
    <cfRule type="containsBlanks" priority="606">
      <formula>LEN(TRIM(E30))=0</formula>
    </cfRule>
  </conditionalFormatting>
  <conditionalFormatting sqref="E30:E292">
    <cfRule type="notContainsBlanks" priority="605">
      <formula>LEN(TRIM(E30))&gt;0</formula>
    </cfRule>
  </conditionalFormatting>
  <conditionalFormatting sqref="AF30:AG292">
    <cfRule type="containsBlanks" priority="604">
      <formula>LEN(TRIM(AF30))=0</formula>
    </cfRule>
  </conditionalFormatting>
  <conditionalFormatting sqref="AF30:AF292">
    <cfRule type="notContainsBlanks" priority="603">
      <formula>LEN(TRIM(AF30))&gt;0</formula>
    </cfRule>
  </conditionalFormatting>
  <conditionalFormatting sqref="E30:F292">
    <cfRule type="containsBlanks" dxfId="217" priority="602">
      <formula>LEN(TRIM(E30))=0</formula>
    </cfRule>
  </conditionalFormatting>
  <conditionalFormatting sqref="G30:Z292">
    <cfRule type="cellIs" dxfId="216" priority="599" operator="lessThan">
      <formula>1</formula>
    </cfRule>
    <cfRule type="cellIs" dxfId="215" priority="600" operator="greaterThan">
      <formula>4</formula>
    </cfRule>
    <cfRule type="containsBlanks" dxfId="214" priority="601">
      <formula>LEN(TRIM(G30))=0</formula>
    </cfRule>
  </conditionalFormatting>
  <conditionalFormatting sqref="AF30:AG292">
    <cfRule type="containsBlanks" dxfId="213" priority="598">
      <formula>LEN(TRIM(AF30))=0</formula>
    </cfRule>
  </conditionalFormatting>
  <conditionalFormatting sqref="AH30:BA292">
    <cfRule type="cellIs" dxfId="212" priority="595" operator="lessThan">
      <formula>1</formula>
    </cfRule>
    <cfRule type="cellIs" dxfId="211" priority="596" operator="greaterThan">
      <formula>4</formula>
    </cfRule>
    <cfRule type="containsBlanks" dxfId="210" priority="597">
      <formula>LEN(TRIM(AH30))=0</formula>
    </cfRule>
  </conditionalFormatting>
  <conditionalFormatting sqref="E30:F292">
    <cfRule type="containsBlanks" dxfId="209" priority="594">
      <formula>LEN(TRIM(E30))=0</formula>
    </cfRule>
  </conditionalFormatting>
  <conditionalFormatting sqref="G30:Z292">
    <cfRule type="cellIs" dxfId="208" priority="591" operator="lessThan">
      <formula>1</formula>
    </cfRule>
    <cfRule type="cellIs" dxfId="207" priority="592" operator="greaterThan">
      <formula>4</formula>
    </cfRule>
    <cfRule type="containsBlanks" dxfId="206" priority="593">
      <formula>LEN(TRIM(G30))=0</formula>
    </cfRule>
  </conditionalFormatting>
  <conditionalFormatting sqref="AF30:AG292">
    <cfRule type="containsBlanks" dxfId="205" priority="590">
      <formula>LEN(TRIM(AF30))=0</formula>
    </cfRule>
  </conditionalFormatting>
  <conditionalFormatting sqref="AH30:BA292">
    <cfRule type="cellIs" dxfId="204" priority="587" operator="lessThan">
      <formula>1</formula>
    </cfRule>
    <cfRule type="cellIs" dxfId="203" priority="588" operator="greaterThan">
      <formula>4</formula>
    </cfRule>
    <cfRule type="containsBlanks" dxfId="202" priority="589">
      <formula>LEN(TRIM(AH30))=0</formula>
    </cfRule>
  </conditionalFormatting>
  <conditionalFormatting sqref="E30:F292">
    <cfRule type="containsBlanks" dxfId="201" priority="586">
      <formula>LEN(TRIM(E30))=0</formula>
    </cfRule>
  </conditionalFormatting>
  <conditionalFormatting sqref="G30:Z292">
    <cfRule type="cellIs" dxfId="200" priority="583" operator="lessThan">
      <formula>1</formula>
    </cfRule>
    <cfRule type="cellIs" dxfId="199" priority="584" operator="greaterThan">
      <formula>4</formula>
    </cfRule>
    <cfRule type="containsBlanks" dxfId="198" priority="585">
      <formula>LEN(TRIM(G30))=0</formula>
    </cfRule>
  </conditionalFormatting>
  <conditionalFormatting sqref="AF30:AG292">
    <cfRule type="containsBlanks" dxfId="197" priority="582">
      <formula>LEN(TRIM(AF30))=0</formula>
    </cfRule>
  </conditionalFormatting>
  <conditionalFormatting sqref="AH30:BA292">
    <cfRule type="cellIs" dxfId="196" priority="579" operator="lessThan">
      <formula>1</formula>
    </cfRule>
    <cfRule type="cellIs" dxfId="195" priority="580" operator="greaterThan">
      <formula>4</formula>
    </cfRule>
    <cfRule type="containsBlanks" dxfId="194" priority="581">
      <formula>LEN(TRIM(AH30))=0</formula>
    </cfRule>
  </conditionalFormatting>
  <conditionalFormatting sqref="E5:F5">
    <cfRule type="containsBlanks" priority="178">
      <formula>LEN(TRIM(E5))=0</formula>
    </cfRule>
  </conditionalFormatting>
  <conditionalFormatting sqref="AF5:AG5">
    <cfRule type="containsBlanks" priority="177">
      <formula>LEN(TRIM(AF5))=0</formula>
    </cfRule>
  </conditionalFormatting>
  <conditionalFormatting sqref="E6:F6">
    <cfRule type="containsBlanks" priority="176">
      <formula>LEN(TRIM(E6))=0</formula>
    </cfRule>
  </conditionalFormatting>
  <conditionalFormatting sqref="E6">
    <cfRule type="notContainsBlanks" priority="175">
      <formula>LEN(TRIM(E6))&gt;0</formula>
    </cfRule>
  </conditionalFormatting>
  <conditionalFormatting sqref="AF6:AG6">
    <cfRule type="containsBlanks" priority="174">
      <formula>LEN(TRIM(AF6))=0</formula>
    </cfRule>
  </conditionalFormatting>
  <conditionalFormatting sqref="AF6">
    <cfRule type="notContainsBlanks" priority="173">
      <formula>LEN(TRIM(AF6))&gt;0</formula>
    </cfRule>
  </conditionalFormatting>
  <conditionalFormatting sqref="E4:F4">
    <cfRule type="containsBlanks" priority="172">
      <formula>LEN(TRIM(E4))=0</formula>
    </cfRule>
  </conditionalFormatting>
  <conditionalFormatting sqref="E4">
    <cfRule type="notContainsBlanks" priority="171">
      <formula>LEN(TRIM(E4))&gt;0</formula>
    </cfRule>
  </conditionalFormatting>
  <conditionalFormatting sqref="AF4:AG4">
    <cfRule type="containsBlanks" priority="170">
      <formula>LEN(TRIM(AF4))=0</formula>
    </cfRule>
  </conditionalFormatting>
  <conditionalFormatting sqref="AF4">
    <cfRule type="notContainsBlanks" priority="169">
      <formula>LEN(TRIM(AF4))&gt;0</formula>
    </cfRule>
  </conditionalFormatting>
  <conditionalFormatting sqref="E5:F5">
    <cfRule type="containsBlanks" dxfId="193" priority="168">
      <formula>LEN(TRIM(E5))=0</formula>
    </cfRule>
  </conditionalFormatting>
  <conditionalFormatting sqref="G5 I5:Z5">
    <cfRule type="cellIs" dxfId="192" priority="165" operator="lessThan">
      <formula>1</formula>
    </cfRule>
    <cfRule type="cellIs" dxfId="191" priority="166" operator="greaterThan">
      <formula>4</formula>
    </cfRule>
    <cfRule type="containsBlanks" dxfId="190" priority="167">
      <formula>LEN(TRIM(G5))=0</formula>
    </cfRule>
  </conditionalFormatting>
  <conditionalFormatting sqref="AF5:AG5">
    <cfRule type="containsBlanks" dxfId="189" priority="164">
      <formula>LEN(TRIM(AF5))=0</formula>
    </cfRule>
  </conditionalFormatting>
  <conditionalFormatting sqref="AH5:BA5">
    <cfRule type="cellIs" dxfId="188" priority="161" operator="lessThan">
      <formula>1</formula>
    </cfRule>
    <cfRule type="cellIs" dxfId="187" priority="162" operator="greaterThan">
      <formula>4</formula>
    </cfRule>
    <cfRule type="containsBlanks" dxfId="186" priority="163">
      <formula>LEN(TRIM(AH5))=0</formula>
    </cfRule>
  </conditionalFormatting>
  <conditionalFormatting sqref="E4:F4">
    <cfRule type="containsBlanks" dxfId="185" priority="160">
      <formula>LEN(TRIM(E4))=0</formula>
    </cfRule>
  </conditionalFormatting>
  <conditionalFormatting sqref="G4:Z4 H5">
    <cfRule type="cellIs" dxfId="184" priority="157" operator="lessThan">
      <formula>1</formula>
    </cfRule>
    <cfRule type="cellIs" dxfId="183" priority="158" operator="greaterThan">
      <formula>4</formula>
    </cfRule>
    <cfRule type="containsBlanks" dxfId="182" priority="159">
      <formula>LEN(TRIM(G4))=0</formula>
    </cfRule>
  </conditionalFormatting>
  <conditionalFormatting sqref="AF4:AG4">
    <cfRule type="containsBlanks" dxfId="181" priority="156">
      <formula>LEN(TRIM(AF4))=0</formula>
    </cfRule>
  </conditionalFormatting>
  <conditionalFormatting sqref="AH4:BA4">
    <cfRule type="cellIs" dxfId="180" priority="153" operator="lessThan">
      <formula>1</formula>
    </cfRule>
    <cfRule type="cellIs" dxfId="179" priority="154" operator="greaterThan">
      <formula>4</formula>
    </cfRule>
    <cfRule type="containsBlanks" dxfId="178" priority="155">
      <formula>LEN(TRIM(AH4))=0</formula>
    </cfRule>
  </conditionalFormatting>
  <conditionalFormatting sqref="E5:F5">
    <cfRule type="containsBlanks" dxfId="177" priority="152">
      <formula>LEN(TRIM(E5))=0</formula>
    </cfRule>
  </conditionalFormatting>
  <conditionalFormatting sqref="G5 I5:Z5">
    <cfRule type="cellIs" dxfId="176" priority="149" operator="lessThan">
      <formula>1</formula>
    </cfRule>
    <cfRule type="cellIs" dxfId="175" priority="150" operator="greaterThan">
      <formula>4</formula>
    </cfRule>
    <cfRule type="containsBlanks" dxfId="174" priority="151">
      <formula>LEN(TRIM(G5))=0</formula>
    </cfRule>
  </conditionalFormatting>
  <conditionalFormatting sqref="AF5:AG5">
    <cfRule type="containsBlanks" dxfId="173" priority="148">
      <formula>LEN(TRIM(AF5))=0</formula>
    </cfRule>
  </conditionalFormatting>
  <conditionalFormatting sqref="AH5:BA5">
    <cfRule type="cellIs" dxfId="172" priority="145" operator="lessThan">
      <formula>1</formula>
    </cfRule>
    <cfRule type="cellIs" dxfId="171" priority="146" operator="greaterThan">
      <formula>4</formula>
    </cfRule>
    <cfRule type="containsBlanks" dxfId="170" priority="147">
      <formula>LEN(TRIM(AH5))=0</formula>
    </cfRule>
  </conditionalFormatting>
  <conditionalFormatting sqref="E4:F4">
    <cfRule type="containsBlanks" dxfId="169" priority="144">
      <formula>LEN(TRIM(E4))=0</formula>
    </cfRule>
  </conditionalFormatting>
  <conditionalFormatting sqref="G4:Z4 H5">
    <cfRule type="cellIs" dxfId="168" priority="141" operator="lessThan">
      <formula>1</formula>
    </cfRule>
    <cfRule type="cellIs" dxfId="167" priority="142" operator="greaterThan">
      <formula>4</formula>
    </cfRule>
    <cfRule type="containsBlanks" dxfId="166" priority="143">
      <formula>LEN(TRIM(G4))=0</formula>
    </cfRule>
  </conditionalFormatting>
  <conditionalFormatting sqref="AF4:AG4">
    <cfRule type="containsBlanks" dxfId="165" priority="140">
      <formula>LEN(TRIM(AF4))=0</formula>
    </cfRule>
  </conditionalFormatting>
  <conditionalFormatting sqref="AH4:BA4">
    <cfRule type="cellIs" dxfId="164" priority="137" operator="lessThan">
      <formula>1</formula>
    </cfRule>
    <cfRule type="cellIs" dxfId="163" priority="138" operator="greaterThan">
      <formula>4</formula>
    </cfRule>
    <cfRule type="containsBlanks" dxfId="162" priority="139">
      <formula>LEN(TRIM(AH4))=0</formula>
    </cfRule>
  </conditionalFormatting>
  <conditionalFormatting sqref="E4:F4">
    <cfRule type="containsBlanks" dxfId="161" priority="136">
      <formula>LEN(TRIM(E4))=0</formula>
    </cfRule>
  </conditionalFormatting>
  <conditionalFormatting sqref="G4:Z4 H5">
    <cfRule type="cellIs" dxfId="160" priority="133" operator="lessThan">
      <formula>1</formula>
    </cfRule>
    <cfRule type="cellIs" dxfId="159" priority="134" operator="greaterThan">
      <formula>4</formula>
    </cfRule>
    <cfRule type="containsBlanks" dxfId="158" priority="135">
      <formula>LEN(TRIM(G4))=0</formula>
    </cfRule>
  </conditionalFormatting>
  <conditionalFormatting sqref="AF4:AG4">
    <cfRule type="containsBlanks" dxfId="157" priority="132">
      <formula>LEN(TRIM(AF4))=0</formula>
    </cfRule>
  </conditionalFormatting>
  <conditionalFormatting sqref="AH4:BA4">
    <cfRule type="cellIs" dxfId="156" priority="129" operator="lessThan">
      <formula>1</formula>
    </cfRule>
    <cfRule type="cellIs" dxfId="155" priority="130" operator="greaterThan">
      <formula>4</formula>
    </cfRule>
    <cfRule type="containsBlanks" dxfId="154" priority="131">
      <formula>LEN(TRIM(AH4))=0</formula>
    </cfRule>
  </conditionalFormatting>
  <conditionalFormatting sqref="E295:F295">
    <cfRule type="containsBlanks" dxfId="153" priority="128">
      <formula>LEN(TRIM(E295))=0</formula>
    </cfRule>
  </conditionalFormatting>
  <conditionalFormatting sqref="G295:Z295">
    <cfRule type="cellIs" dxfId="152" priority="125" operator="lessThan">
      <formula>1</formula>
    </cfRule>
    <cfRule type="cellIs" dxfId="151" priority="126" operator="greaterThan">
      <formula>4</formula>
    </cfRule>
    <cfRule type="containsBlanks" dxfId="150" priority="127">
      <formula>LEN(TRIM(G295))=0</formula>
    </cfRule>
  </conditionalFormatting>
  <conditionalFormatting sqref="AF295:AG295">
    <cfRule type="containsBlanks" dxfId="149" priority="124">
      <formula>LEN(TRIM(AF295))=0</formula>
    </cfRule>
  </conditionalFormatting>
  <conditionalFormatting sqref="AH295:BA295">
    <cfRule type="cellIs" dxfId="148" priority="121" operator="lessThan">
      <formula>1</formula>
    </cfRule>
    <cfRule type="cellIs" dxfId="147" priority="122" operator="greaterThan">
      <formula>4</formula>
    </cfRule>
    <cfRule type="containsBlanks" dxfId="146" priority="123">
      <formula>LEN(TRIM(AH295))=0</formula>
    </cfRule>
  </conditionalFormatting>
  <conditionalFormatting sqref="E296:F296">
    <cfRule type="containsBlanks" dxfId="145" priority="120">
      <formula>LEN(TRIM(E296))=0</formula>
    </cfRule>
  </conditionalFormatting>
  <conditionalFormatting sqref="G296:Z296">
    <cfRule type="cellIs" dxfId="144" priority="117" operator="lessThan">
      <formula>1</formula>
    </cfRule>
    <cfRule type="cellIs" dxfId="143" priority="118" operator="greaterThan">
      <formula>4</formula>
    </cfRule>
    <cfRule type="containsBlanks" dxfId="142" priority="119">
      <formula>LEN(TRIM(G296))=0</formula>
    </cfRule>
  </conditionalFormatting>
  <conditionalFormatting sqref="AF296:AG296">
    <cfRule type="containsBlanks" dxfId="141" priority="116">
      <formula>LEN(TRIM(AF296))=0</formula>
    </cfRule>
  </conditionalFormatting>
  <conditionalFormatting sqref="AH296:BA296">
    <cfRule type="cellIs" dxfId="140" priority="113" operator="lessThan">
      <formula>1</formula>
    </cfRule>
    <cfRule type="cellIs" dxfId="139" priority="114" operator="greaterThan">
      <formula>4</formula>
    </cfRule>
    <cfRule type="containsBlanks" dxfId="138" priority="115">
      <formula>LEN(TRIM(AH296))=0</formula>
    </cfRule>
  </conditionalFormatting>
  <conditionalFormatting sqref="E294:F294">
    <cfRule type="containsBlanks" dxfId="137" priority="112">
      <formula>LEN(TRIM(E294))=0</formula>
    </cfRule>
  </conditionalFormatting>
  <conditionalFormatting sqref="G294:Z294">
    <cfRule type="cellIs" dxfId="136" priority="109" operator="lessThan">
      <formula>1</formula>
    </cfRule>
    <cfRule type="cellIs" dxfId="135" priority="110" operator="greaterThan">
      <formula>4</formula>
    </cfRule>
    <cfRule type="containsBlanks" dxfId="134" priority="111">
      <formula>LEN(TRIM(G294))=0</formula>
    </cfRule>
  </conditionalFormatting>
  <conditionalFormatting sqref="AF294:AG294">
    <cfRule type="containsBlanks" dxfId="133" priority="108">
      <formula>LEN(TRIM(AF294))=0</formula>
    </cfRule>
  </conditionalFormatting>
  <conditionalFormatting sqref="AH294:BA294">
    <cfRule type="cellIs" dxfId="132" priority="105" operator="lessThan">
      <formula>1</formula>
    </cfRule>
    <cfRule type="cellIs" dxfId="131" priority="106" operator="greaterThan">
      <formula>4</formula>
    </cfRule>
    <cfRule type="containsBlanks" dxfId="130" priority="107">
      <formula>LEN(TRIM(AH294))=0</formula>
    </cfRule>
  </conditionalFormatting>
  <conditionalFormatting sqref="E293:F293">
    <cfRule type="containsBlanks" dxfId="129" priority="104">
      <formula>LEN(TRIM(E293))=0</formula>
    </cfRule>
  </conditionalFormatting>
  <conditionalFormatting sqref="G293:Z293">
    <cfRule type="cellIs" dxfId="128" priority="101" operator="lessThan">
      <formula>1</formula>
    </cfRule>
    <cfRule type="cellIs" dxfId="127" priority="102" operator="greaterThan">
      <formula>4</formula>
    </cfRule>
    <cfRule type="containsBlanks" dxfId="126" priority="103">
      <formula>LEN(TRIM(G293))=0</formula>
    </cfRule>
  </conditionalFormatting>
  <conditionalFormatting sqref="AF293:AG293">
    <cfRule type="containsBlanks" dxfId="125" priority="100">
      <formula>LEN(TRIM(AF293))=0</formula>
    </cfRule>
  </conditionalFormatting>
  <conditionalFormatting sqref="AH293:BA293">
    <cfRule type="cellIs" dxfId="124" priority="97" operator="lessThan">
      <formula>1</formula>
    </cfRule>
    <cfRule type="cellIs" dxfId="123" priority="98" operator="greaterThan">
      <formula>4</formula>
    </cfRule>
    <cfRule type="containsBlanks" dxfId="122" priority="99">
      <formula>LEN(TRIM(AH293))=0</formula>
    </cfRule>
  </conditionalFormatting>
  <conditionalFormatting sqref="E300:F300">
    <cfRule type="containsBlanks" dxfId="121" priority="96">
      <formula>LEN(TRIM(E300))=0</formula>
    </cfRule>
  </conditionalFormatting>
  <conditionalFormatting sqref="G300:Z300">
    <cfRule type="cellIs" dxfId="120" priority="93" operator="lessThan">
      <formula>1</formula>
    </cfRule>
    <cfRule type="cellIs" dxfId="119" priority="94" operator="greaterThan">
      <formula>4</formula>
    </cfRule>
    <cfRule type="containsBlanks" dxfId="118" priority="95">
      <formula>LEN(TRIM(G300))=0</formula>
    </cfRule>
  </conditionalFormatting>
  <conditionalFormatting sqref="AF300:AG300">
    <cfRule type="containsBlanks" dxfId="117" priority="92">
      <formula>LEN(TRIM(AF300))=0</formula>
    </cfRule>
  </conditionalFormatting>
  <conditionalFormatting sqref="AH300:BA300">
    <cfRule type="cellIs" dxfId="116" priority="89" operator="lessThan">
      <formula>1</formula>
    </cfRule>
    <cfRule type="cellIs" dxfId="115" priority="90" operator="greaterThan">
      <formula>4</formula>
    </cfRule>
    <cfRule type="containsBlanks" dxfId="114" priority="91">
      <formula>LEN(TRIM(AH300))=0</formula>
    </cfRule>
  </conditionalFormatting>
  <conditionalFormatting sqref="E301:F301">
    <cfRule type="containsBlanks" dxfId="113" priority="88">
      <formula>LEN(TRIM(E301))=0</formula>
    </cfRule>
  </conditionalFormatting>
  <conditionalFormatting sqref="G301:Z301">
    <cfRule type="cellIs" dxfId="112" priority="85" operator="lessThan">
      <formula>1</formula>
    </cfRule>
    <cfRule type="cellIs" dxfId="111" priority="86" operator="greaterThan">
      <formula>4</formula>
    </cfRule>
    <cfRule type="containsBlanks" dxfId="110" priority="87">
      <formula>LEN(TRIM(G301))=0</formula>
    </cfRule>
  </conditionalFormatting>
  <conditionalFormatting sqref="AF301:AG301">
    <cfRule type="containsBlanks" dxfId="109" priority="84">
      <formula>LEN(TRIM(AF301))=0</formula>
    </cfRule>
  </conditionalFormatting>
  <conditionalFormatting sqref="AH301:BA301">
    <cfRule type="cellIs" dxfId="108" priority="81" operator="lessThan">
      <formula>1</formula>
    </cfRule>
    <cfRule type="cellIs" dxfId="107" priority="82" operator="greaterThan">
      <formula>4</formula>
    </cfRule>
    <cfRule type="containsBlanks" dxfId="106" priority="83">
      <formula>LEN(TRIM(AH301))=0</formula>
    </cfRule>
  </conditionalFormatting>
  <conditionalFormatting sqref="E299:F299">
    <cfRule type="containsBlanks" dxfId="105" priority="80">
      <formula>LEN(TRIM(E299))=0</formula>
    </cfRule>
  </conditionalFormatting>
  <conditionalFormatting sqref="G299:Z299">
    <cfRule type="cellIs" dxfId="104" priority="77" operator="lessThan">
      <formula>1</formula>
    </cfRule>
    <cfRule type="cellIs" dxfId="103" priority="78" operator="greaterThan">
      <formula>4</formula>
    </cfRule>
    <cfRule type="containsBlanks" dxfId="102" priority="79">
      <formula>LEN(TRIM(G299))=0</formula>
    </cfRule>
  </conditionalFormatting>
  <conditionalFormatting sqref="AF299:AG299">
    <cfRule type="containsBlanks" dxfId="101" priority="76">
      <formula>LEN(TRIM(AF299))=0</formula>
    </cfRule>
  </conditionalFormatting>
  <conditionalFormatting sqref="AH299:BA299">
    <cfRule type="cellIs" dxfId="100" priority="73" operator="lessThan">
      <formula>1</formula>
    </cfRule>
    <cfRule type="cellIs" dxfId="99" priority="74" operator="greaterThan">
      <formula>4</formula>
    </cfRule>
    <cfRule type="containsBlanks" dxfId="98" priority="75">
      <formula>LEN(TRIM(AH299))=0</formula>
    </cfRule>
  </conditionalFormatting>
  <conditionalFormatting sqref="E298:F298">
    <cfRule type="containsBlanks" dxfId="97" priority="72">
      <formula>LEN(TRIM(E298))=0</formula>
    </cfRule>
  </conditionalFormatting>
  <conditionalFormatting sqref="G298:Z298">
    <cfRule type="cellIs" dxfId="96" priority="69" operator="lessThan">
      <formula>1</formula>
    </cfRule>
    <cfRule type="cellIs" dxfId="95" priority="70" operator="greaterThan">
      <formula>4</formula>
    </cfRule>
    <cfRule type="containsBlanks" dxfId="94" priority="71">
      <formula>LEN(TRIM(G298))=0</formula>
    </cfRule>
  </conditionalFormatting>
  <conditionalFormatting sqref="AF298:AG298">
    <cfRule type="containsBlanks" dxfId="93" priority="68">
      <formula>LEN(TRIM(AF298))=0</formula>
    </cfRule>
  </conditionalFormatting>
  <conditionalFormatting sqref="AH298:BA298">
    <cfRule type="cellIs" dxfId="92" priority="65" operator="lessThan">
      <formula>1</formula>
    </cfRule>
    <cfRule type="cellIs" dxfId="91" priority="66" operator="greaterThan">
      <formula>4</formula>
    </cfRule>
    <cfRule type="containsBlanks" dxfId="90" priority="67">
      <formula>LEN(TRIM(AH298))=0</formula>
    </cfRule>
  </conditionalFormatting>
  <conditionalFormatting sqref="E304:F304">
    <cfRule type="containsBlanks" dxfId="89" priority="64">
      <formula>LEN(TRIM(E304))=0</formula>
    </cfRule>
  </conditionalFormatting>
  <conditionalFormatting sqref="G304:Z304">
    <cfRule type="cellIs" dxfId="88" priority="61" operator="lessThan">
      <formula>1</formula>
    </cfRule>
    <cfRule type="cellIs" dxfId="87" priority="62" operator="greaterThan">
      <formula>4</formula>
    </cfRule>
    <cfRule type="containsBlanks" dxfId="86" priority="63">
      <formula>LEN(TRIM(G304))=0</formula>
    </cfRule>
  </conditionalFormatting>
  <conditionalFormatting sqref="AF304:AG304">
    <cfRule type="containsBlanks" dxfId="85" priority="60">
      <formula>LEN(TRIM(AF304))=0</formula>
    </cfRule>
  </conditionalFormatting>
  <conditionalFormatting sqref="AH304:BA304">
    <cfRule type="cellIs" dxfId="84" priority="57" operator="lessThan">
      <formula>1</formula>
    </cfRule>
    <cfRule type="cellIs" dxfId="83" priority="58" operator="greaterThan">
      <formula>4</formula>
    </cfRule>
    <cfRule type="containsBlanks" dxfId="82" priority="59">
      <formula>LEN(TRIM(AH304))=0</formula>
    </cfRule>
  </conditionalFormatting>
  <conditionalFormatting sqref="E305:F305">
    <cfRule type="containsBlanks" dxfId="81" priority="56">
      <formula>LEN(TRIM(E305))=0</formula>
    </cfRule>
  </conditionalFormatting>
  <conditionalFormatting sqref="G305:Z305">
    <cfRule type="cellIs" dxfId="80" priority="53" operator="lessThan">
      <formula>1</formula>
    </cfRule>
    <cfRule type="cellIs" dxfId="79" priority="54" operator="greaterThan">
      <formula>4</formula>
    </cfRule>
    <cfRule type="containsBlanks" dxfId="78" priority="55">
      <formula>LEN(TRIM(G305))=0</formula>
    </cfRule>
  </conditionalFormatting>
  <conditionalFormatting sqref="AF305:AG305">
    <cfRule type="containsBlanks" dxfId="77" priority="52">
      <formula>LEN(TRIM(AF305))=0</formula>
    </cfRule>
  </conditionalFormatting>
  <conditionalFormatting sqref="AH305:BA305">
    <cfRule type="cellIs" dxfId="76" priority="49" operator="lessThan">
      <formula>1</formula>
    </cfRule>
    <cfRule type="cellIs" dxfId="75" priority="50" operator="greaterThan">
      <formula>4</formula>
    </cfRule>
    <cfRule type="containsBlanks" dxfId="74" priority="51">
      <formula>LEN(TRIM(AH305))=0</formula>
    </cfRule>
  </conditionalFormatting>
  <conditionalFormatting sqref="E303:F303">
    <cfRule type="containsBlanks" dxfId="73" priority="48">
      <formula>LEN(TRIM(E303))=0</formula>
    </cfRule>
  </conditionalFormatting>
  <conditionalFormatting sqref="G303:Z303">
    <cfRule type="cellIs" dxfId="72" priority="45" operator="lessThan">
      <formula>1</formula>
    </cfRule>
    <cfRule type="cellIs" dxfId="71" priority="46" operator="greaterThan">
      <formula>4</formula>
    </cfRule>
    <cfRule type="containsBlanks" dxfId="70" priority="47">
      <formula>LEN(TRIM(G303))=0</formula>
    </cfRule>
  </conditionalFormatting>
  <conditionalFormatting sqref="AF303:AG303">
    <cfRule type="containsBlanks" dxfId="69" priority="44">
      <formula>LEN(TRIM(AF303))=0</formula>
    </cfRule>
  </conditionalFormatting>
  <conditionalFormatting sqref="AH303:BA303">
    <cfRule type="cellIs" dxfId="68" priority="41" operator="lessThan">
      <formula>1</formula>
    </cfRule>
    <cfRule type="cellIs" dxfId="67" priority="42" operator="greaterThan">
      <formula>4</formula>
    </cfRule>
    <cfRule type="containsBlanks" dxfId="66" priority="43">
      <formula>LEN(TRIM(AH303))=0</formula>
    </cfRule>
  </conditionalFormatting>
  <conditionalFormatting sqref="E302:F302">
    <cfRule type="containsBlanks" dxfId="65" priority="40">
      <formula>LEN(TRIM(E302))=0</formula>
    </cfRule>
  </conditionalFormatting>
  <conditionalFormatting sqref="G302:Z302">
    <cfRule type="cellIs" dxfId="64" priority="37" operator="lessThan">
      <formula>1</formula>
    </cfRule>
    <cfRule type="cellIs" dxfId="63" priority="38" operator="greaterThan">
      <formula>4</formula>
    </cfRule>
    <cfRule type="containsBlanks" dxfId="62" priority="39">
      <formula>LEN(TRIM(G302))=0</formula>
    </cfRule>
  </conditionalFormatting>
  <conditionalFormatting sqref="AF302:AG302">
    <cfRule type="containsBlanks" dxfId="61" priority="36">
      <formula>LEN(TRIM(AF302))=0</formula>
    </cfRule>
  </conditionalFormatting>
  <conditionalFormatting sqref="AH302:BA302">
    <cfRule type="cellIs" dxfId="60" priority="33" operator="lessThan">
      <formula>1</formula>
    </cfRule>
    <cfRule type="cellIs" dxfId="59" priority="34" operator="greaterThan">
      <formula>4</formula>
    </cfRule>
    <cfRule type="containsBlanks" dxfId="58" priority="35">
      <formula>LEN(TRIM(AH302))=0</formula>
    </cfRule>
  </conditionalFormatting>
  <conditionalFormatting sqref="E308:F308">
    <cfRule type="containsBlanks" dxfId="57" priority="32">
      <formula>LEN(TRIM(E308))=0</formula>
    </cfRule>
  </conditionalFormatting>
  <conditionalFormatting sqref="G308:Z308">
    <cfRule type="cellIs" dxfId="56" priority="29" operator="lessThan">
      <formula>1</formula>
    </cfRule>
    <cfRule type="cellIs" dxfId="55" priority="30" operator="greaterThan">
      <formula>4</formula>
    </cfRule>
    <cfRule type="containsBlanks" dxfId="54" priority="31">
      <formula>LEN(TRIM(G308))=0</formula>
    </cfRule>
  </conditionalFormatting>
  <conditionalFormatting sqref="AF308:AG308">
    <cfRule type="containsBlanks" dxfId="53" priority="28">
      <formula>LEN(TRIM(AF308))=0</formula>
    </cfRule>
  </conditionalFormatting>
  <conditionalFormatting sqref="AH308:BA308">
    <cfRule type="cellIs" dxfId="52" priority="25" operator="lessThan">
      <formula>1</formula>
    </cfRule>
    <cfRule type="cellIs" dxfId="51" priority="26" operator="greaterThan">
      <formula>4</formula>
    </cfRule>
    <cfRule type="containsBlanks" dxfId="50" priority="27">
      <formula>LEN(TRIM(AH308))=0</formula>
    </cfRule>
  </conditionalFormatting>
  <conditionalFormatting sqref="E309:F309">
    <cfRule type="containsBlanks" dxfId="49" priority="24">
      <formula>LEN(TRIM(E309))=0</formula>
    </cfRule>
  </conditionalFormatting>
  <conditionalFormatting sqref="G309:Z309">
    <cfRule type="cellIs" dxfId="48" priority="21" operator="lessThan">
      <formula>1</formula>
    </cfRule>
    <cfRule type="cellIs" dxfId="47" priority="22" operator="greaterThan">
      <formula>4</formula>
    </cfRule>
    <cfRule type="containsBlanks" dxfId="46" priority="23">
      <formula>LEN(TRIM(G309))=0</formula>
    </cfRule>
  </conditionalFormatting>
  <conditionalFormatting sqref="AF309:AG309">
    <cfRule type="containsBlanks" dxfId="45" priority="20">
      <formula>LEN(TRIM(AF309))=0</formula>
    </cfRule>
  </conditionalFormatting>
  <conditionalFormatting sqref="AH309:BA309">
    <cfRule type="cellIs" dxfId="44" priority="17" operator="lessThan">
      <formula>1</formula>
    </cfRule>
    <cfRule type="cellIs" dxfId="43" priority="18" operator="greaterThan">
      <formula>4</formula>
    </cfRule>
    <cfRule type="containsBlanks" dxfId="42" priority="19">
      <formula>LEN(TRIM(AH309))=0</formula>
    </cfRule>
  </conditionalFormatting>
  <conditionalFormatting sqref="E307:F307">
    <cfRule type="containsBlanks" dxfId="41" priority="16">
      <formula>LEN(TRIM(E307))=0</formula>
    </cfRule>
  </conditionalFormatting>
  <conditionalFormatting sqref="G307:Z307">
    <cfRule type="cellIs" dxfId="40" priority="13" operator="lessThan">
      <formula>1</formula>
    </cfRule>
    <cfRule type="cellIs" dxfId="39" priority="14" operator="greaterThan">
      <formula>4</formula>
    </cfRule>
    <cfRule type="containsBlanks" dxfId="38" priority="15">
      <formula>LEN(TRIM(G307))=0</formula>
    </cfRule>
  </conditionalFormatting>
  <conditionalFormatting sqref="AF307:AG307">
    <cfRule type="containsBlanks" dxfId="37" priority="12">
      <formula>LEN(TRIM(AF307))=0</formula>
    </cfRule>
  </conditionalFormatting>
  <conditionalFormatting sqref="AH307:BA307">
    <cfRule type="cellIs" dxfId="36" priority="9" operator="lessThan">
      <formula>1</formula>
    </cfRule>
    <cfRule type="cellIs" dxfId="35" priority="10" operator="greaterThan">
      <formula>4</formula>
    </cfRule>
    <cfRule type="containsBlanks" dxfId="34" priority="11">
      <formula>LEN(TRIM(AH307))=0</formula>
    </cfRule>
  </conditionalFormatting>
  <conditionalFormatting sqref="E306:F306">
    <cfRule type="containsBlanks" dxfId="33" priority="8">
      <formula>LEN(TRIM(E306))=0</formula>
    </cfRule>
  </conditionalFormatting>
  <conditionalFormatting sqref="G306:Z306">
    <cfRule type="cellIs" dxfId="32" priority="5" operator="lessThan">
      <formula>1</formula>
    </cfRule>
    <cfRule type="cellIs" dxfId="31" priority="6" operator="greaterThan">
      <formula>4</formula>
    </cfRule>
    <cfRule type="containsBlanks" dxfId="30" priority="7">
      <formula>LEN(TRIM(G306))=0</formula>
    </cfRule>
  </conditionalFormatting>
  <conditionalFormatting sqref="AF306:AG306">
    <cfRule type="containsBlanks" dxfId="29" priority="4">
      <formula>LEN(TRIM(AF306))=0</formula>
    </cfRule>
  </conditionalFormatting>
  <conditionalFormatting sqref="AH306:BA306">
    <cfRule type="cellIs" dxfId="28" priority="1" operator="lessThan">
      <formula>1</formula>
    </cfRule>
    <cfRule type="cellIs" dxfId="27" priority="2" operator="greaterThan">
      <formula>4</formula>
    </cfRule>
    <cfRule type="containsBlanks" dxfId="26" priority="3">
      <formula>LEN(TRIM(AH306))=0</formula>
    </cfRule>
  </conditionalFormatting>
  <dataValidations xWindow="403" yWindow="363" count="14">
    <dataValidation type="list" allowBlank="1" showInputMessage="1" showErrorMessage="1" sqref="AF310:AF340 AF4 F10:F13 AF7:AF10 AG11:AG13 E4 E7:E9 F5:F6 AG5:AG6 E25:E292 AF25:AF292 E310:E340">
      <formula1>outlet</formula1>
    </dataValidation>
    <dataValidation type="list" allowBlank="1" showInputMessage="1" showErrorMessage="1" sqref="F310:F379 AG4 E10:E13 AG7:AG10 AF11:AF13 F4 F7:F9 E5:E6 AF5:AF6 AG25:AG292 F25:F292 AG310:AG340">
      <formula1>channel</formula1>
    </dataValidation>
    <dataValidation type="list" allowBlank="1" showInputMessage="1" showErrorMessage="1" sqref="AE25:AE292 AE4:AE13 D25:D33 D4:D13 AE310:AE340">
      <formula1>cabang</formula1>
    </dataValidation>
    <dataValidation allowBlank="1" showInputMessage="1" showErrorMessage="1" promptTitle="Database" prompt="Sheet ini hanya digunakan apabila terdapat kesalahan data" sqref="A62:A246"/>
    <dataValidation allowBlank="1" showInputMessage="1" showErrorMessage="1" promptTitle="Database" prompt="Sheet ini hanya digunakan apabila terjadi kesalahan dalam penginputan data atau melakukan pengeditan dan penghapusan data" sqref="B3:Z3 AA1:BC3 BB34:BC75 B34:D75 AD297:BA297 B293:B309 C297:Z297 AD295:BA295 BB293:BC309 C295:AB295 AC293:AC309 AA293:AB294 AA296:AB299 AD300:BA300 C300:AB300 AA301:AB303 AD304:BA304 C304:AB304 AA305:AB307 AD308:BA308 C308:AB308 AA309:AB309"/>
    <dataValidation allowBlank="1" showInputMessage="1" showErrorMessage="1" promptTitle="Database" prompt="Sheet ini hanya digunakan apabila terjadi kesalahan dalam penginputan data atau melakukan pengeditan dan penghapusan data saja." sqref="B1:Z2"/>
    <dataValidation allowBlank="1" showInputMessage="1" showErrorMessage="1" promptTitle="Database" prompt="Klik button Gabunkan Database untuk melakukan proses pengabungan data tiap cabang" sqref="A1:A61"/>
    <dataValidation type="whole" allowBlank="1" showInputMessage="1" showErrorMessage="1" errorTitle="Tahun" error="Tahun yang diinputkan salah !" promptTitle="Tahun Survey" prompt="Pilih tahun melakukan survei" sqref="C293 AD293 C298 AD298 C302 AD302 C306 AD306">
      <formula1>2016</formula1>
      <formula2>9999</formula2>
    </dataValidation>
    <dataValidation type="list" allowBlank="1" showInputMessage="1" showErrorMessage="1" promptTitle="Nama Outlet" prompt="Pilih Nama Outlet" sqref="E293:E294 AF293:AF294 E298:E299 AF298:AF299 E302:E303 AF302:AF303 E306:E307 AF306:AF307">
      <formula1>outlet</formula1>
    </dataValidation>
    <dataValidation type="whole" allowBlank="1" showInputMessage="1" showErrorMessage="1" errorTitle="data" error="Minimal 1 dan Maksimal 4" promptTitle="Input Nilai" prompt="Input Nilai 1 - 4" sqref="G296:Z296 AH296:BA296 G293:Z294 AH293:BA294 G301:Z303 AH301:BA303 G298:Z299 AH298:BA299 G305:Z307 AH305:BA307 G309:Z309 AH309:BA309">
      <formula1>1</formula1>
      <formula2>4</formula2>
    </dataValidation>
    <dataValidation type="list" allowBlank="1" showInputMessage="1" showErrorMessage="1" promptTitle="Cabang" prompt="Pilih Cabang Outlet Anda." sqref="D296 AE296 D293:D294 AE293:AE294 D301:D303 AE301:AE303 D298:D299 AE298:AE299 D305:D307 AE305:AE307 D309 AE309">
      <formula1>cabang</formula1>
    </dataValidation>
    <dataValidation type="list" allowBlank="1" showInputMessage="1" showErrorMessage="1" promptTitle="Pilih Channel" prompt="Pilih Jenis Channel dari Outlet tersebut." sqref="F296 AG296 F293:F294 AG293:AG294 F301:F303 AG301:AG303 F298:F299 AG298:AG299 F305:F307 AG305:AG307 F309 AG309">
      <formula1>channel</formula1>
    </dataValidation>
    <dataValidation type="whole" allowBlank="1" showInputMessage="1" showErrorMessage="1" errorTitle="Tahun" error="Tahun yang diinputkan salah !" promptTitle="Tahun Survey" prompt="Input Tahun Survey" sqref="C296 AD296 C294 AD294 C301 AD301 C299 AD299 C305 AD305 C303 AD303 C309 AD309 C307 AD307">
      <formula1>2016</formula1>
      <formula2>9999</formula2>
    </dataValidation>
    <dataValidation type="list" allowBlank="1" showInputMessage="1" showErrorMessage="1" promptTitle="Pilih Channel" prompt="Pilih Jenis Channel dari Outlet tersebut." sqref="E296 AF296 E301 AF301 E305 AF305 E309 AF309">
      <formula1>outlet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49"/>
  <sheetViews>
    <sheetView workbookViewId="0">
      <selection activeCell="G7" sqref="G7"/>
    </sheetView>
  </sheetViews>
  <sheetFormatPr defaultRowHeight="15" x14ac:dyDescent="0.25"/>
  <cols>
    <col min="2" max="2" width="11.85546875" bestFit="1" customWidth="1"/>
    <col min="3" max="3" width="10.85546875" bestFit="1" customWidth="1"/>
    <col min="4" max="4" width="16" bestFit="1" customWidth="1"/>
    <col min="5" max="5" width="18" bestFit="1" customWidth="1"/>
    <col min="6" max="6" width="22.5703125" bestFit="1" customWidth="1"/>
    <col min="10" max="10" width="9.140625" style="54"/>
    <col min="16" max="16" width="12.85546875" bestFit="1" customWidth="1"/>
  </cols>
  <sheetData>
    <row r="1" spans="2:16" x14ac:dyDescent="0.25">
      <c r="J1" s="61"/>
    </row>
    <row r="2" spans="2:16" x14ac:dyDescent="0.25">
      <c r="J2" s="61"/>
    </row>
    <row r="3" spans="2:16" x14ac:dyDescent="0.25">
      <c r="B3" s="115" t="s">
        <v>35</v>
      </c>
      <c r="C3" s="108" t="s">
        <v>36</v>
      </c>
      <c r="D3" s="108" t="s">
        <v>37</v>
      </c>
      <c r="E3" s="105" t="s">
        <v>68</v>
      </c>
      <c r="F3" s="103" t="s">
        <v>69</v>
      </c>
      <c r="G3" s="249" t="s">
        <v>163</v>
      </c>
      <c r="H3" s="249"/>
      <c r="I3" s="249"/>
      <c r="J3" s="61"/>
      <c r="K3" s="250" t="s">
        <v>167</v>
      </c>
      <c r="L3" s="250"/>
      <c r="M3" s="250"/>
      <c r="N3" s="250"/>
      <c r="P3" s="100" t="s">
        <v>173</v>
      </c>
    </row>
    <row r="4" spans="2:16" x14ac:dyDescent="0.25">
      <c r="B4" s="116" t="s">
        <v>162</v>
      </c>
      <c r="C4" s="109" t="s">
        <v>70</v>
      </c>
      <c r="D4" s="110" t="s">
        <v>122</v>
      </c>
      <c r="E4" s="106" t="s">
        <v>67</v>
      </c>
      <c r="F4" s="104" t="s">
        <v>110</v>
      </c>
      <c r="G4" s="101" t="s">
        <v>164</v>
      </c>
      <c r="H4" s="101" t="s">
        <v>165</v>
      </c>
      <c r="I4" s="101" t="s">
        <v>166</v>
      </c>
      <c r="J4" s="61"/>
      <c r="K4" s="117" t="s">
        <v>168</v>
      </c>
      <c r="L4" s="117" t="s">
        <v>169</v>
      </c>
      <c r="M4" s="117" t="s">
        <v>170</v>
      </c>
      <c r="N4" s="117" t="s">
        <v>171</v>
      </c>
      <c r="P4" s="96" t="s">
        <v>70</v>
      </c>
    </row>
    <row r="5" spans="2:16" x14ac:dyDescent="0.25">
      <c r="B5" s="116" t="s">
        <v>38</v>
      </c>
      <c r="C5" s="111" t="s">
        <v>143</v>
      </c>
      <c r="D5" s="110" t="s">
        <v>144</v>
      </c>
      <c r="E5" s="106" t="s">
        <v>162</v>
      </c>
      <c r="F5" s="104" t="s">
        <v>111</v>
      </c>
      <c r="G5" s="94" t="s">
        <v>172</v>
      </c>
      <c r="H5" s="92" t="s">
        <v>12</v>
      </c>
      <c r="I5" s="93" t="s">
        <v>145</v>
      </c>
      <c r="K5" s="97" t="s">
        <v>71</v>
      </c>
      <c r="L5" s="98" t="s">
        <v>73</v>
      </c>
      <c r="M5" s="98" t="s">
        <v>72</v>
      </c>
      <c r="N5" s="98" t="s">
        <v>70</v>
      </c>
      <c r="P5" s="96" t="s">
        <v>73</v>
      </c>
    </row>
    <row r="6" spans="2:16" x14ac:dyDescent="0.25">
      <c r="B6" s="116" t="s">
        <v>39</v>
      </c>
      <c r="C6" s="112" t="s">
        <v>71</v>
      </c>
      <c r="D6" s="110" t="s">
        <v>131</v>
      </c>
      <c r="E6" s="106" t="s">
        <v>38</v>
      </c>
      <c r="F6" s="22"/>
      <c r="G6" s="92" t="s">
        <v>87</v>
      </c>
      <c r="H6" s="92" t="s">
        <v>129</v>
      </c>
      <c r="I6" s="93" t="s">
        <v>101</v>
      </c>
      <c r="K6" s="97" t="s">
        <v>12</v>
      </c>
      <c r="L6" s="98" t="s">
        <v>75</v>
      </c>
      <c r="M6" s="98" t="s">
        <v>40</v>
      </c>
      <c r="N6" s="98" t="s">
        <v>143</v>
      </c>
      <c r="P6" s="96" t="s">
        <v>80</v>
      </c>
    </row>
    <row r="7" spans="2:16" x14ac:dyDescent="0.25">
      <c r="B7" s="22"/>
      <c r="C7" s="111" t="s">
        <v>72</v>
      </c>
      <c r="D7" s="110" t="s">
        <v>118</v>
      </c>
      <c r="E7" s="106" t="s">
        <v>39</v>
      </c>
      <c r="F7" s="22"/>
      <c r="G7" s="94" t="s">
        <v>107</v>
      </c>
      <c r="H7" s="92" t="s">
        <v>71</v>
      </c>
      <c r="I7" s="94" t="s">
        <v>75</v>
      </c>
      <c r="K7" s="98" t="s">
        <v>112</v>
      </c>
      <c r="L7" s="98" t="s">
        <v>79</v>
      </c>
      <c r="M7" s="99" t="s">
        <v>77</v>
      </c>
      <c r="N7" s="98" t="s">
        <v>74</v>
      </c>
      <c r="P7" s="96" t="s">
        <v>172</v>
      </c>
    </row>
    <row r="8" spans="2:16" x14ac:dyDescent="0.25">
      <c r="B8" s="22"/>
      <c r="C8" s="111" t="s">
        <v>73</v>
      </c>
      <c r="D8" s="110" t="s">
        <v>133</v>
      </c>
      <c r="E8" s="22"/>
      <c r="F8" s="22"/>
      <c r="G8" s="94" t="s">
        <v>94</v>
      </c>
      <c r="H8" s="92" t="s">
        <v>105</v>
      </c>
      <c r="I8" s="94" t="s">
        <v>88</v>
      </c>
      <c r="K8" s="97" t="s">
        <v>129</v>
      </c>
      <c r="L8" s="98" t="s">
        <v>83</v>
      </c>
      <c r="M8" s="98" t="s">
        <v>78</v>
      </c>
      <c r="N8" s="98" t="s">
        <v>76</v>
      </c>
      <c r="P8" s="96" t="s">
        <v>82</v>
      </c>
    </row>
    <row r="9" spans="2:16" x14ac:dyDescent="0.25">
      <c r="B9" s="22"/>
      <c r="C9" s="109" t="s">
        <v>74</v>
      </c>
      <c r="D9" s="110" t="s">
        <v>125</v>
      </c>
      <c r="E9" s="22"/>
      <c r="F9" s="22"/>
      <c r="G9" s="94" t="s">
        <v>96</v>
      </c>
      <c r="H9" s="94" t="s">
        <v>73</v>
      </c>
      <c r="I9" s="94" t="s">
        <v>79</v>
      </c>
      <c r="K9" s="97" t="s">
        <v>87</v>
      </c>
      <c r="L9" s="98" t="s">
        <v>88</v>
      </c>
      <c r="M9" s="98" t="s">
        <v>81</v>
      </c>
      <c r="N9" s="98" t="s">
        <v>80</v>
      </c>
      <c r="P9" s="96" t="s">
        <v>93</v>
      </c>
    </row>
    <row r="10" spans="2:16" x14ac:dyDescent="0.25">
      <c r="B10" s="22"/>
      <c r="C10" s="109" t="s">
        <v>40</v>
      </c>
      <c r="D10" s="110" t="s">
        <v>138</v>
      </c>
      <c r="E10" s="22"/>
      <c r="F10" s="22"/>
      <c r="G10" s="94" t="s">
        <v>72</v>
      </c>
      <c r="H10" s="94" t="s">
        <v>109</v>
      </c>
      <c r="I10" s="94" t="s">
        <v>83</v>
      </c>
      <c r="K10" s="97" t="s">
        <v>145</v>
      </c>
      <c r="L10" s="98" t="s">
        <v>90</v>
      </c>
      <c r="M10" s="98" t="s">
        <v>82</v>
      </c>
      <c r="N10" s="98" t="s">
        <v>84</v>
      </c>
      <c r="P10" s="96" t="s">
        <v>99</v>
      </c>
    </row>
    <row r="11" spans="2:16" x14ac:dyDescent="0.25">
      <c r="B11" s="22"/>
      <c r="C11" s="109" t="s">
        <v>75</v>
      </c>
      <c r="D11" s="110" t="s">
        <v>148</v>
      </c>
      <c r="E11" s="22"/>
      <c r="F11" s="22"/>
      <c r="G11" s="94" t="s">
        <v>98</v>
      </c>
      <c r="H11" s="94" t="s">
        <v>103</v>
      </c>
      <c r="I11" s="94" t="s">
        <v>90</v>
      </c>
      <c r="K11" s="97" t="s">
        <v>101</v>
      </c>
      <c r="L11" s="98" t="s">
        <v>94</v>
      </c>
      <c r="M11" s="98" t="s">
        <v>85</v>
      </c>
      <c r="N11" s="98" t="s">
        <v>86</v>
      </c>
      <c r="P11" s="96" t="s">
        <v>101</v>
      </c>
    </row>
    <row r="12" spans="2:16" x14ac:dyDescent="0.25">
      <c r="B12" s="22"/>
      <c r="C12" s="109" t="s">
        <v>76</v>
      </c>
      <c r="D12" s="110" t="s">
        <v>159</v>
      </c>
      <c r="E12" s="22"/>
      <c r="F12" s="22"/>
      <c r="G12" s="94" t="s">
        <v>92</v>
      </c>
      <c r="H12" s="93" t="s">
        <v>78</v>
      </c>
      <c r="I12" s="94" t="s">
        <v>104</v>
      </c>
      <c r="K12" s="97" t="s">
        <v>105</v>
      </c>
      <c r="L12" s="98" t="s">
        <v>96</v>
      </c>
      <c r="M12" s="98" t="s">
        <v>89</v>
      </c>
      <c r="N12" s="98" t="s">
        <v>91</v>
      </c>
      <c r="P12" s="96" t="s">
        <v>108</v>
      </c>
    </row>
    <row r="13" spans="2:16" x14ac:dyDescent="0.25">
      <c r="B13" s="22"/>
      <c r="C13" s="113" t="s">
        <v>77</v>
      </c>
      <c r="D13" s="110" t="s">
        <v>121</v>
      </c>
      <c r="E13" s="22"/>
      <c r="F13" s="22"/>
      <c r="G13" s="95" t="s">
        <v>77</v>
      </c>
      <c r="H13" s="94" t="s">
        <v>100</v>
      </c>
      <c r="I13" s="94" t="s">
        <v>99</v>
      </c>
      <c r="K13" s="118"/>
      <c r="L13" s="98" t="s">
        <v>99</v>
      </c>
      <c r="M13" s="98" t="s">
        <v>92</v>
      </c>
      <c r="N13" s="98" t="s">
        <v>93</v>
      </c>
    </row>
    <row r="14" spans="2:16" x14ac:dyDescent="0.25">
      <c r="B14" s="22"/>
      <c r="C14" s="109" t="s">
        <v>78</v>
      </c>
      <c r="D14" s="110" t="s">
        <v>136</v>
      </c>
      <c r="E14" s="22"/>
      <c r="F14" s="22"/>
      <c r="G14" s="94" t="s">
        <v>70</v>
      </c>
      <c r="H14" s="94" t="s">
        <v>40</v>
      </c>
      <c r="I14" s="94" t="s">
        <v>81</v>
      </c>
      <c r="K14" s="118"/>
      <c r="L14" s="98" t="s">
        <v>103</v>
      </c>
      <c r="M14" s="98" t="s">
        <v>98</v>
      </c>
      <c r="N14" s="98" t="s">
        <v>95</v>
      </c>
    </row>
    <row r="15" spans="2:16" x14ac:dyDescent="0.25">
      <c r="B15" s="22"/>
      <c r="C15" s="109" t="s">
        <v>79</v>
      </c>
      <c r="D15" s="110" t="s">
        <v>150</v>
      </c>
      <c r="E15" s="22"/>
      <c r="F15" s="22"/>
      <c r="G15" s="94" t="s">
        <v>80</v>
      </c>
      <c r="H15" s="94" t="s">
        <v>85</v>
      </c>
      <c r="I15" s="94" t="s">
        <v>89</v>
      </c>
      <c r="K15" s="118"/>
      <c r="L15" s="98" t="s">
        <v>104</v>
      </c>
      <c r="M15" s="98" t="s">
        <v>100</v>
      </c>
      <c r="N15" s="98" t="s">
        <v>97</v>
      </c>
    </row>
    <row r="16" spans="2:16" x14ac:dyDescent="0.25">
      <c r="B16" s="22"/>
      <c r="C16" s="109" t="s">
        <v>80</v>
      </c>
      <c r="D16" s="110" t="s">
        <v>123</v>
      </c>
      <c r="E16" s="22"/>
      <c r="F16" s="22"/>
      <c r="G16" s="94" t="s">
        <v>95</v>
      </c>
      <c r="H16" s="93" t="s">
        <v>106</v>
      </c>
      <c r="I16" s="94" t="s">
        <v>82</v>
      </c>
      <c r="K16" s="118"/>
      <c r="L16" s="98" t="s">
        <v>107</v>
      </c>
      <c r="M16" s="118"/>
      <c r="N16" s="98" t="s">
        <v>102</v>
      </c>
    </row>
    <row r="17" spans="2:14" x14ac:dyDescent="0.25">
      <c r="B17" s="22"/>
      <c r="C17" s="109" t="s">
        <v>81</v>
      </c>
      <c r="D17" s="110" t="s">
        <v>155</v>
      </c>
      <c r="E17" s="22"/>
      <c r="F17" s="22"/>
      <c r="G17" s="94" t="s">
        <v>74</v>
      </c>
      <c r="H17" s="94" t="s">
        <v>108</v>
      </c>
      <c r="I17" s="94" t="s">
        <v>91</v>
      </c>
      <c r="K17" s="118"/>
      <c r="L17" s="98" t="s">
        <v>109</v>
      </c>
      <c r="M17" s="118"/>
      <c r="N17" s="98" t="s">
        <v>106</v>
      </c>
    </row>
    <row r="18" spans="2:14" x14ac:dyDescent="0.25">
      <c r="B18" s="22"/>
      <c r="C18" s="114" t="s">
        <v>12</v>
      </c>
      <c r="D18" s="110" t="s">
        <v>128</v>
      </c>
      <c r="E18" s="22"/>
      <c r="F18" s="22"/>
      <c r="G18" s="94" t="s">
        <v>86</v>
      </c>
      <c r="H18" s="94" t="s">
        <v>102</v>
      </c>
      <c r="I18" s="94" t="s">
        <v>76</v>
      </c>
      <c r="K18" s="118"/>
      <c r="L18" s="118"/>
      <c r="M18" s="118"/>
      <c r="N18" s="98" t="s">
        <v>108</v>
      </c>
    </row>
    <row r="19" spans="2:14" x14ac:dyDescent="0.25">
      <c r="B19" s="22"/>
      <c r="C19" s="109" t="s">
        <v>172</v>
      </c>
      <c r="D19" s="110" t="s">
        <v>113</v>
      </c>
      <c r="E19" s="22"/>
      <c r="F19" s="22"/>
      <c r="G19" s="94" t="s">
        <v>93</v>
      </c>
      <c r="H19" s="94" t="s">
        <v>143</v>
      </c>
      <c r="I19" s="94" t="s">
        <v>84</v>
      </c>
    </row>
    <row r="20" spans="2:14" x14ac:dyDescent="0.25">
      <c r="B20" s="22"/>
      <c r="C20" s="114" t="s">
        <v>129</v>
      </c>
      <c r="D20" s="110" t="s">
        <v>130</v>
      </c>
      <c r="E20" s="22"/>
      <c r="F20" s="22"/>
      <c r="G20" s="102"/>
      <c r="H20" s="102"/>
      <c r="I20" s="94" t="s">
        <v>97</v>
      </c>
    </row>
    <row r="21" spans="2:14" x14ac:dyDescent="0.25">
      <c r="B21" s="22"/>
      <c r="C21" s="109" t="s">
        <v>82</v>
      </c>
      <c r="D21" s="110" t="s">
        <v>157</v>
      </c>
      <c r="E21" s="22"/>
      <c r="F21" s="22"/>
    </row>
    <row r="22" spans="2:14" x14ac:dyDescent="0.25">
      <c r="B22" s="22"/>
      <c r="C22" s="109" t="s">
        <v>83</v>
      </c>
      <c r="D22" s="110" t="s">
        <v>151</v>
      </c>
      <c r="E22" s="22"/>
      <c r="F22" s="22"/>
    </row>
    <row r="23" spans="2:14" x14ac:dyDescent="0.25">
      <c r="B23" s="22"/>
      <c r="C23" s="109" t="s">
        <v>85</v>
      </c>
      <c r="D23" s="110" t="s">
        <v>139</v>
      </c>
      <c r="E23" s="22"/>
      <c r="F23" s="22"/>
    </row>
    <row r="24" spans="2:14" x14ac:dyDescent="0.25">
      <c r="B24" s="22"/>
      <c r="C24" s="109" t="s">
        <v>84</v>
      </c>
      <c r="D24" s="110" t="s">
        <v>160</v>
      </c>
      <c r="E24" s="22"/>
      <c r="F24" s="22"/>
    </row>
    <row r="25" spans="2:14" x14ac:dyDescent="0.25">
      <c r="B25" s="22"/>
      <c r="C25" s="109" t="s">
        <v>86</v>
      </c>
      <c r="D25" s="110" t="s">
        <v>126</v>
      </c>
      <c r="E25" s="22"/>
      <c r="F25" s="22"/>
    </row>
    <row r="26" spans="2:14" x14ac:dyDescent="0.25">
      <c r="B26" s="22"/>
      <c r="C26" s="114" t="s">
        <v>87</v>
      </c>
      <c r="D26" s="110" t="s">
        <v>114</v>
      </c>
      <c r="E26" s="22"/>
      <c r="F26" s="22"/>
    </row>
    <row r="27" spans="2:14" x14ac:dyDescent="0.25">
      <c r="B27" s="22"/>
      <c r="C27" s="109" t="s">
        <v>88</v>
      </c>
      <c r="D27" s="110" t="s">
        <v>149</v>
      </c>
      <c r="E27" s="22"/>
      <c r="F27" s="22"/>
    </row>
    <row r="28" spans="2:14" x14ac:dyDescent="0.25">
      <c r="B28" s="22"/>
      <c r="C28" s="109" t="s">
        <v>90</v>
      </c>
      <c r="D28" s="110" t="s">
        <v>152</v>
      </c>
      <c r="E28" s="22"/>
      <c r="F28" s="22"/>
    </row>
    <row r="29" spans="2:14" x14ac:dyDescent="0.25">
      <c r="B29" s="22"/>
      <c r="C29" s="109" t="s">
        <v>89</v>
      </c>
      <c r="D29" s="110" t="s">
        <v>156</v>
      </c>
      <c r="E29" s="22"/>
      <c r="F29" s="22"/>
    </row>
    <row r="30" spans="2:14" x14ac:dyDescent="0.25">
      <c r="B30" s="22"/>
      <c r="C30" s="109" t="s">
        <v>91</v>
      </c>
      <c r="D30" s="110" t="s">
        <v>158</v>
      </c>
      <c r="E30" s="22"/>
      <c r="F30" s="22"/>
    </row>
    <row r="31" spans="2:14" x14ac:dyDescent="0.25">
      <c r="B31" s="22"/>
      <c r="C31" s="109" t="s">
        <v>92</v>
      </c>
      <c r="D31" s="110" t="s">
        <v>120</v>
      </c>
      <c r="E31" s="22"/>
      <c r="F31" s="22"/>
    </row>
    <row r="32" spans="2:14" x14ac:dyDescent="0.25">
      <c r="B32" s="22"/>
      <c r="C32" s="109" t="s">
        <v>93</v>
      </c>
      <c r="D32" s="110" t="s">
        <v>127</v>
      </c>
      <c r="E32" s="22"/>
      <c r="F32" s="22"/>
    </row>
    <row r="33" spans="2:6" x14ac:dyDescent="0.25">
      <c r="B33" s="22"/>
      <c r="C33" s="109" t="s">
        <v>94</v>
      </c>
      <c r="D33" s="110" t="s">
        <v>116</v>
      </c>
      <c r="E33" s="22"/>
      <c r="F33" s="22"/>
    </row>
    <row r="34" spans="2:6" x14ac:dyDescent="0.25">
      <c r="B34" s="22"/>
      <c r="C34" s="109" t="s">
        <v>95</v>
      </c>
      <c r="D34" s="110" t="s">
        <v>124</v>
      </c>
      <c r="E34" s="22"/>
      <c r="F34" s="22"/>
    </row>
    <row r="35" spans="2:6" x14ac:dyDescent="0.25">
      <c r="B35" s="22"/>
      <c r="C35" s="109" t="s">
        <v>96</v>
      </c>
      <c r="D35" s="110" t="s">
        <v>117</v>
      </c>
      <c r="E35" s="22"/>
      <c r="F35" s="22"/>
    </row>
    <row r="36" spans="2:6" x14ac:dyDescent="0.25">
      <c r="B36" s="22"/>
      <c r="C36" s="109" t="s">
        <v>97</v>
      </c>
      <c r="D36" s="110" t="s">
        <v>161</v>
      </c>
      <c r="E36" s="22"/>
      <c r="F36" s="22"/>
    </row>
    <row r="37" spans="2:6" x14ac:dyDescent="0.25">
      <c r="B37" s="22"/>
      <c r="C37" s="109" t="s">
        <v>98</v>
      </c>
      <c r="D37" s="110" t="s">
        <v>119</v>
      </c>
      <c r="E37" s="22"/>
      <c r="F37" s="22"/>
    </row>
    <row r="38" spans="2:6" x14ac:dyDescent="0.25">
      <c r="B38" s="22"/>
      <c r="C38" s="109" t="s">
        <v>99</v>
      </c>
      <c r="D38" s="110" t="s">
        <v>154</v>
      </c>
      <c r="E38" s="22"/>
      <c r="F38" s="22"/>
    </row>
    <row r="39" spans="2:6" x14ac:dyDescent="0.25">
      <c r="B39" s="22"/>
      <c r="C39" s="109" t="s">
        <v>100</v>
      </c>
      <c r="D39" s="110" t="s">
        <v>137</v>
      </c>
      <c r="E39" s="22"/>
      <c r="F39" s="22"/>
    </row>
    <row r="40" spans="2:6" x14ac:dyDescent="0.25">
      <c r="B40" s="22"/>
      <c r="C40" s="109" t="s">
        <v>145</v>
      </c>
      <c r="D40" s="110" t="s">
        <v>146</v>
      </c>
      <c r="E40" s="22"/>
      <c r="F40" s="22"/>
    </row>
    <row r="41" spans="2:6" x14ac:dyDescent="0.25">
      <c r="B41" s="22"/>
      <c r="C41" s="109" t="s">
        <v>101</v>
      </c>
      <c r="D41" s="110" t="s">
        <v>147</v>
      </c>
      <c r="E41" s="22"/>
      <c r="F41" s="22"/>
    </row>
    <row r="42" spans="2:6" x14ac:dyDescent="0.25">
      <c r="B42" s="22"/>
      <c r="C42" s="109" t="s">
        <v>102</v>
      </c>
      <c r="D42" s="110" t="s">
        <v>142</v>
      </c>
      <c r="E42" s="22"/>
      <c r="F42" s="22"/>
    </row>
    <row r="43" spans="2:6" x14ac:dyDescent="0.25">
      <c r="B43" s="22"/>
      <c r="C43" s="109" t="s">
        <v>103</v>
      </c>
      <c r="D43" s="110" t="s">
        <v>135</v>
      </c>
      <c r="E43" s="22"/>
      <c r="F43" s="22"/>
    </row>
    <row r="44" spans="2:6" x14ac:dyDescent="0.25">
      <c r="B44" s="22"/>
      <c r="C44" s="109" t="s">
        <v>104</v>
      </c>
      <c r="D44" s="110" t="s">
        <v>153</v>
      </c>
      <c r="E44" s="22"/>
      <c r="F44" s="22"/>
    </row>
    <row r="45" spans="2:6" x14ac:dyDescent="0.25">
      <c r="B45" s="22"/>
      <c r="C45" s="114" t="s">
        <v>105</v>
      </c>
      <c r="D45" s="110" t="s">
        <v>132</v>
      </c>
      <c r="E45" s="22"/>
      <c r="F45" s="22"/>
    </row>
    <row r="46" spans="2:6" x14ac:dyDescent="0.25">
      <c r="B46" s="22"/>
      <c r="C46" s="109" t="s">
        <v>106</v>
      </c>
      <c r="D46" s="110" t="s">
        <v>140</v>
      </c>
      <c r="E46" s="22"/>
      <c r="F46" s="22"/>
    </row>
    <row r="47" spans="2:6" x14ac:dyDescent="0.25">
      <c r="C47" s="109" t="s">
        <v>107</v>
      </c>
      <c r="D47" s="110" t="s">
        <v>115</v>
      </c>
    </row>
    <row r="48" spans="2:6" x14ac:dyDescent="0.25">
      <c r="C48" s="109" t="s">
        <v>108</v>
      </c>
      <c r="D48" s="110" t="s">
        <v>141</v>
      </c>
    </row>
    <row r="49" spans="3:4" x14ac:dyDescent="0.25">
      <c r="C49" s="109" t="s">
        <v>109</v>
      </c>
      <c r="D49" s="110" t="s">
        <v>134</v>
      </c>
    </row>
  </sheetData>
  <sortState ref="C4:D49">
    <sortCondition ref="C4:C49"/>
  </sortState>
  <mergeCells count="2">
    <mergeCell ref="G3:I3"/>
    <mergeCell ref="K3:N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V32"/>
  <sheetViews>
    <sheetView topLeftCell="A8" workbookViewId="0">
      <selection activeCell="C10" sqref="C10"/>
    </sheetView>
  </sheetViews>
  <sheetFormatPr defaultRowHeight="15" x14ac:dyDescent="0.3"/>
  <cols>
    <col min="1" max="1" width="8.85546875" style="2" customWidth="1"/>
    <col min="2" max="3" width="6.28515625" style="2" customWidth="1"/>
    <col min="4" max="4" width="7.7109375" style="2" bestFit="1" customWidth="1"/>
    <col min="5" max="5" width="6.28515625" style="2" customWidth="1"/>
    <col min="6" max="6" width="7.7109375" style="2" customWidth="1"/>
    <col min="7" max="7" width="9.28515625" style="2" customWidth="1"/>
    <col min="8" max="8" width="8.85546875" style="2" customWidth="1"/>
    <col min="9" max="9" width="9.140625" style="2" customWidth="1"/>
    <col min="10" max="11" width="7.7109375" style="2" bestFit="1" customWidth="1"/>
    <col min="12" max="12" width="7.7109375" style="2" customWidth="1"/>
    <col min="13" max="13" width="8.140625" style="2" bestFit="1" customWidth="1"/>
    <col min="14" max="14" width="11.28515625" style="2" bestFit="1" customWidth="1"/>
    <col min="15" max="15" width="14.28515625" style="3" customWidth="1"/>
    <col min="16" max="16" width="75.140625" style="4" customWidth="1"/>
    <col min="17" max="17" width="14.85546875" style="3" customWidth="1"/>
    <col min="18" max="18" width="12.28515625" style="3" customWidth="1"/>
    <col min="19" max="19" width="13" style="3" customWidth="1"/>
    <col min="20" max="20" width="12.7109375" style="3" customWidth="1"/>
    <col min="21" max="21" width="12.42578125" style="3" customWidth="1"/>
    <col min="22" max="22" width="25.85546875" style="3" bestFit="1" customWidth="1"/>
    <col min="23" max="254" width="9.140625" style="3"/>
    <col min="255" max="255" width="9.28515625" style="3" customWidth="1"/>
    <col min="256" max="258" width="5.28515625" style="3" customWidth="1"/>
    <col min="259" max="259" width="7.7109375" style="3" bestFit="1" customWidth="1"/>
    <col min="260" max="260" width="7.7109375" style="3" customWidth="1"/>
    <col min="261" max="261" width="9.28515625" style="3" customWidth="1"/>
    <col min="262" max="262" width="6.85546875" style="3" customWidth="1"/>
    <col min="263" max="263" width="5.28515625" style="3" customWidth="1"/>
    <col min="264" max="264" width="5.7109375" style="3" customWidth="1"/>
    <col min="265" max="265" width="6.140625" style="3" customWidth="1"/>
    <col min="266" max="266" width="7.7109375" style="3" customWidth="1"/>
    <col min="267" max="267" width="8.140625" style="3" bestFit="1" customWidth="1"/>
    <col min="268" max="268" width="11.28515625" style="3" bestFit="1" customWidth="1"/>
    <col min="269" max="269" width="14.28515625" style="3" customWidth="1"/>
    <col min="270" max="270" width="79.42578125" style="3" customWidth="1"/>
    <col min="271" max="510" width="9.140625" style="3"/>
    <col min="511" max="511" width="9.28515625" style="3" customWidth="1"/>
    <col min="512" max="514" width="5.28515625" style="3" customWidth="1"/>
    <col min="515" max="515" width="7.7109375" style="3" bestFit="1" customWidth="1"/>
    <col min="516" max="516" width="7.7109375" style="3" customWidth="1"/>
    <col min="517" max="517" width="9.28515625" style="3" customWidth="1"/>
    <col min="518" max="518" width="6.85546875" style="3" customWidth="1"/>
    <col min="519" max="519" width="5.28515625" style="3" customWidth="1"/>
    <col min="520" max="520" width="5.7109375" style="3" customWidth="1"/>
    <col min="521" max="521" width="6.140625" style="3" customWidth="1"/>
    <col min="522" max="522" width="7.7109375" style="3" customWidth="1"/>
    <col min="523" max="523" width="8.140625" style="3" bestFit="1" customWidth="1"/>
    <col min="524" max="524" width="11.28515625" style="3" bestFit="1" customWidth="1"/>
    <col min="525" max="525" width="14.28515625" style="3" customWidth="1"/>
    <col min="526" max="526" width="79.42578125" style="3" customWidth="1"/>
    <col min="527" max="766" width="9.140625" style="3"/>
    <col min="767" max="767" width="9.28515625" style="3" customWidth="1"/>
    <col min="768" max="770" width="5.28515625" style="3" customWidth="1"/>
    <col min="771" max="771" width="7.7109375" style="3" bestFit="1" customWidth="1"/>
    <col min="772" max="772" width="7.7109375" style="3" customWidth="1"/>
    <col min="773" max="773" width="9.28515625" style="3" customWidth="1"/>
    <col min="774" max="774" width="6.85546875" style="3" customWidth="1"/>
    <col min="775" max="775" width="5.28515625" style="3" customWidth="1"/>
    <col min="776" max="776" width="5.7109375" style="3" customWidth="1"/>
    <col min="777" max="777" width="6.140625" style="3" customWidth="1"/>
    <col min="778" max="778" width="7.7109375" style="3" customWidth="1"/>
    <col min="779" max="779" width="8.140625" style="3" bestFit="1" customWidth="1"/>
    <col min="780" max="780" width="11.28515625" style="3" bestFit="1" customWidth="1"/>
    <col min="781" max="781" width="14.28515625" style="3" customWidth="1"/>
    <col min="782" max="782" width="79.42578125" style="3" customWidth="1"/>
    <col min="783" max="1022" width="9.140625" style="3"/>
    <col min="1023" max="1023" width="9.28515625" style="3" customWidth="1"/>
    <col min="1024" max="1026" width="5.28515625" style="3" customWidth="1"/>
    <col min="1027" max="1027" width="7.7109375" style="3" bestFit="1" customWidth="1"/>
    <col min="1028" max="1028" width="7.7109375" style="3" customWidth="1"/>
    <col min="1029" max="1029" width="9.28515625" style="3" customWidth="1"/>
    <col min="1030" max="1030" width="6.85546875" style="3" customWidth="1"/>
    <col min="1031" max="1031" width="5.28515625" style="3" customWidth="1"/>
    <col min="1032" max="1032" width="5.7109375" style="3" customWidth="1"/>
    <col min="1033" max="1033" width="6.140625" style="3" customWidth="1"/>
    <col min="1034" max="1034" width="7.7109375" style="3" customWidth="1"/>
    <col min="1035" max="1035" width="8.140625" style="3" bestFit="1" customWidth="1"/>
    <col min="1036" max="1036" width="11.28515625" style="3" bestFit="1" customWidth="1"/>
    <col min="1037" max="1037" width="14.28515625" style="3" customWidth="1"/>
    <col min="1038" max="1038" width="79.42578125" style="3" customWidth="1"/>
    <col min="1039" max="1278" width="9.140625" style="3"/>
    <col min="1279" max="1279" width="9.28515625" style="3" customWidth="1"/>
    <col min="1280" max="1282" width="5.28515625" style="3" customWidth="1"/>
    <col min="1283" max="1283" width="7.7109375" style="3" bestFit="1" customWidth="1"/>
    <col min="1284" max="1284" width="7.7109375" style="3" customWidth="1"/>
    <col min="1285" max="1285" width="9.28515625" style="3" customWidth="1"/>
    <col min="1286" max="1286" width="6.85546875" style="3" customWidth="1"/>
    <col min="1287" max="1287" width="5.28515625" style="3" customWidth="1"/>
    <col min="1288" max="1288" width="5.7109375" style="3" customWidth="1"/>
    <col min="1289" max="1289" width="6.140625" style="3" customWidth="1"/>
    <col min="1290" max="1290" width="7.7109375" style="3" customWidth="1"/>
    <col min="1291" max="1291" width="8.140625" style="3" bestFit="1" customWidth="1"/>
    <col min="1292" max="1292" width="11.28515625" style="3" bestFit="1" customWidth="1"/>
    <col min="1293" max="1293" width="14.28515625" style="3" customWidth="1"/>
    <col min="1294" max="1294" width="79.42578125" style="3" customWidth="1"/>
    <col min="1295" max="1534" width="9.140625" style="3"/>
    <col min="1535" max="1535" width="9.28515625" style="3" customWidth="1"/>
    <col min="1536" max="1538" width="5.28515625" style="3" customWidth="1"/>
    <col min="1539" max="1539" width="7.7109375" style="3" bestFit="1" customWidth="1"/>
    <col min="1540" max="1540" width="7.7109375" style="3" customWidth="1"/>
    <col min="1541" max="1541" width="9.28515625" style="3" customWidth="1"/>
    <col min="1542" max="1542" width="6.85546875" style="3" customWidth="1"/>
    <col min="1543" max="1543" width="5.28515625" style="3" customWidth="1"/>
    <col min="1544" max="1544" width="5.7109375" style="3" customWidth="1"/>
    <col min="1545" max="1545" width="6.140625" style="3" customWidth="1"/>
    <col min="1546" max="1546" width="7.7109375" style="3" customWidth="1"/>
    <col min="1547" max="1547" width="8.140625" style="3" bestFit="1" customWidth="1"/>
    <col min="1548" max="1548" width="11.28515625" style="3" bestFit="1" customWidth="1"/>
    <col min="1549" max="1549" width="14.28515625" style="3" customWidth="1"/>
    <col min="1550" max="1550" width="79.42578125" style="3" customWidth="1"/>
    <col min="1551" max="1790" width="9.140625" style="3"/>
    <col min="1791" max="1791" width="9.28515625" style="3" customWidth="1"/>
    <col min="1792" max="1794" width="5.28515625" style="3" customWidth="1"/>
    <col min="1795" max="1795" width="7.7109375" style="3" bestFit="1" customWidth="1"/>
    <col min="1796" max="1796" width="7.7109375" style="3" customWidth="1"/>
    <col min="1797" max="1797" width="9.28515625" style="3" customWidth="1"/>
    <col min="1798" max="1798" width="6.85546875" style="3" customWidth="1"/>
    <col min="1799" max="1799" width="5.28515625" style="3" customWidth="1"/>
    <col min="1800" max="1800" width="5.7109375" style="3" customWidth="1"/>
    <col min="1801" max="1801" width="6.140625" style="3" customWidth="1"/>
    <col min="1802" max="1802" width="7.7109375" style="3" customWidth="1"/>
    <col min="1803" max="1803" width="8.140625" style="3" bestFit="1" customWidth="1"/>
    <col min="1804" max="1804" width="11.28515625" style="3" bestFit="1" customWidth="1"/>
    <col min="1805" max="1805" width="14.28515625" style="3" customWidth="1"/>
    <col min="1806" max="1806" width="79.42578125" style="3" customWidth="1"/>
    <col min="1807" max="2046" width="9.140625" style="3"/>
    <col min="2047" max="2047" width="9.28515625" style="3" customWidth="1"/>
    <col min="2048" max="2050" width="5.28515625" style="3" customWidth="1"/>
    <col min="2051" max="2051" width="7.7109375" style="3" bestFit="1" customWidth="1"/>
    <col min="2052" max="2052" width="7.7109375" style="3" customWidth="1"/>
    <col min="2053" max="2053" width="9.28515625" style="3" customWidth="1"/>
    <col min="2054" max="2054" width="6.85546875" style="3" customWidth="1"/>
    <col min="2055" max="2055" width="5.28515625" style="3" customWidth="1"/>
    <col min="2056" max="2056" width="5.7109375" style="3" customWidth="1"/>
    <col min="2057" max="2057" width="6.140625" style="3" customWidth="1"/>
    <col min="2058" max="2058" width="7.7109375" style="3" customWidth="1"/>
    <col min="2059" max="2059" width="8.140625" style="3" bestFit="1" customWidth="1"/>
    <col min="2060" max="2060" width="11.28515625" style="3" bestFit="1" customWidth="1"/>
    <col min="2061" max="2061" width="14.28515625" style="3" customWidth="1"/>
    <col min="2062" max="2062" width="79.42578125" style="3" customWidth="1"/>
    <col min="2063" max="2302" width="9.140625" style="3"/>
    <col min="2303" max="2303" width="9.28515625" style="3" customWidth="1"/>
    <col min="2304" max="2306" width="5.28515625" style="3" customWidth="1"/>
    <col min="2307" max="2307" width="7.7109375" style="3" bestFit="1" customWidth="1"/>
    <col min="2308" max="2308" width="7.7109375" style="3" customWidth="1"/>
    <col min="2309" max="2309" width="9.28515625" style="3" customWidth="1"/>
    <col min="2310" max="2310" width="6.85546875" style="3" customWidth="1"/>
    <col min="2311" max="2311" width="5.28515625" style="3" customWidth="1"/>
    <col min="2312" max="2312" width="5.7109375" style="3" customWidth="1"/>
    <col min="2313" max="2313" width="6.140625" style="3" customWidth="1"/>
    <col min="2314" max="2314" width="7.7109375" style="3" customWidth="1"/>
    <col min="2315" max="2315" width="8.140625" style="3" bestFit="1" customWidth="1"/>
    <col min="2316" max="2316" width="11.28515625" style="3" bestFit="1" customWidth="1"/>
    <col min="2317" max="2317" width="14.28515625" style="3" customWidth="1"/>
    <col min="2318" max="2318" width="79.42578125" style="3" customWidth="1"/>
    <col min="2319" max="2558" width="9.140625" style="3"/>
    <col min="2559" max="2559" width="9.28515625" style="3" customWidth="1"/>
    <col min="2560" max="2562" width="5.28515625" style="3" customWidth="1"/>
    <col min="2563" max="2563" width="7.7109375" style="3" bestFit="1" customWidth="1"/>
    <col min="2564" max="2564" width="7.7109375" style="3" customWidth="1"/>
    <col min="2565" max="2565" width="9.28515625" style="3" customWidth="1"/>
    <col min="2566" max="2566" width="6.85546875" style="3" customWidth="1"/>
    <col min="2567" max="2567" width="5.28515625" style="3" customWidth="1"/>
    <col min="2568" max="2568" width="5.7109375" style="3" customWidth="1"/>
    <col min="2569" max="2569" width="6.140625" style="3" customWidth="1"/>
    <col min="2570" max="2570" width="7.7109375" style="3" customWidth="1"/>
    <col min="2571" max="2571" width="8.140625" style="3" bestFit="1" customWidth="1"/>
    <col min="2572" max="2572" width="11.28515625" style="3" bestFit="1" customWidth="1"/>
    <col min="2573" max="2573" width="14.28515625" style="3" customWidth="1"/>
    <col min="2574" max="2574" width="79.42578125" style="3" customWidth="1"/>
    <col min="2575" max="2814" width="9.140625" style="3"/>
    <col min="2815" max="2815" width="9.28515625" style="3" customWidth="1"/>
    <col min="2816" max="2818" width="5.28515625" style="3" customWidth="1"/>
    <col min="2819" max="2819" width="7.7109375" style="3" bestFit="1" customWidth="1"/>
    <col min="2820" max="2820" width="7.7109375" style="3" customWidth="1"/>
    <col min="2821" max="2821" width="9.28515625" style="3" customWidth="1"/>
    <col min="2822" max="2822" width="6.85546875" style="3" customWidth="1"/>
    <col min="2823" max="2823" width="5.28515625" style="3" customWidth="1"/>
    <col min="2824" max="2824" width="5.7109375" style="3" customWidth="1"/>
    <col min="2825" max="2825" width="6.140625" style="3" customWidth="1"/>
    <col min="2826" max="2826" width="7.7109375" style="3" customWidth="1"/>
    <col min="2827" max="2827" width="8.140625" style="3" bestFit="1" customWidth="1"/>
    <col min="2828" max="2828" width="11.28515625" style="3" bestFit="1" customWidth="1"/>
    <col min="2829" max="2829" width="14.28515625" style="3" customWidth="1"/>
    <col min="2830" max="2830" width="79.42578125" style="3" customWidth="1"/>
    <col min="2831" max="3070" width="9.140625" style="3"/>
    <col min="3071" max="3071" width="9.28515625" style="3" customWidth="1"/>
    <col min="3072" max="3074" width="5.28515625" style="3" customWidth="1"/>
    <col min="3075" max="3075" width="7.7109375" style="3" bestFit="1" customWidth="1"/>
    <col min="3076" max="3076" width="7.7109375" style="3" customWidth="1"/>
    <col min="3077" max="3077" width="9.28515625" style="3" customWidth="1"/>
    <col min="3078" max="3078" width="6.85546875" style="3" customWidth="1"/>
    <col min="3079" max="3079" width="5.28515625" style="3" customWidth="1"/>
    <col min="3080" max="3080" width="5.7109375" style="3" customWidth="1"/>
    <col min="3081" max="3081" width="6.140625" style="3" customWidth="1"/>
    <col min="3082" max="3082" width="7.7109375" style="3" customWidth="1"/>
    <col min="3083" max="3083" width="8.140625" style="3" bestFit="1" customWidth="1"/>
    <col min="3084" max="3084" width="11.28515625" style="3" bestFit="1" customWidth="1"/>
    <col min="3085" max="3085" width="14.28515625" style="3" customWidth="1"/>
    <col min="3086" max="3086" width="79.42578125" style="3" customWidth="1"/>
    <col min="3087" max="3326" width="9.140625" style="3"/>
    <col min="3327" max="3327" width="9.28515625" style="3" customWidth="1"/>
    <col min="3328" max="3330" width="5.28515625" style="3" customWidth="1"/>
    <col min="3331" max="3331" width="7.7109375" style="3" bestFit="1" customWidth="1"/>
    <col min="3332" max="3332" width="7.7109375" style="3" customWidth="1"/>
    <col min="3333" max="3333" width="9.28515625" style="3" customWidth="1"/>
    <col min="3334" max="3334" width="6.85546875" style="3" customWidth="1"/>
    <col min="3335" max="3335" width="5.28515625" style="3" customWidth="1"/>
    <col min="3336" max="3336" width="5.7109375" style="3" customWidth="1"/>
    <col min="3337" max="3337" width="6.140625" style="3" customWidth="1"/>
    <col min="3338" max="3338" width="7.7109375" style="3" customWidth="1"/>
    <col min="3339" max="3339" width="8.140625" style="3" bestFit="1" customWidth="1"/>
    <col min="3340" max="3340" width="11.28515625" style="3" bestFit="1" customWidth="1"/>
    <col min="3341" max="3341" width="14.28515625" style="3" customWidth="1"/>
    <col min="3342" max="3342" width="79.42578125" style="3" customWidth="1"/>
    <col min="3343" max="3582" width="9.140625" style="3"/>
    <col min="3583" max="3583" width="9.28515625" style="3" customWidth="1"/>
    <col min="3584" max="3586" width="5.28515625" style="3" customWidth="1"/>
    <col min="3587" max="3587" width="7.7109375" style="3" bestFit="1" customWidth="1"/>
    <col min="3588" max="3588" width="7.7109375" style="3" customWidth="1"/>
    <col min="3589" max="3589" width="9.28515625" style="3" customWidth="1"/>
    <col min="3590" max="3590" width="6.85546875" style="3" customWidth="1"/>
    <col min="3591" max="3591" width="5.28515625" style="3" customWidth="1"/>
    <col min="3592" max="3592" width="5.7109375" style="3" customWidth="1"/>
    <col min="3593" max="3593" width="6.140625" style="3" customWidth="1"/>
    <col min="3594" max="3594" width="7.7109375" style="3" customWidth="1"/>
    <col min="3595" max="3595" width="8.140625" style="3" bestFit="1" customWidth="1"/>
    <col min="3596" max="3596" width="11.28515625" style="3" bestFit="1" customWidth="1"/>
    <col min="3597" max="3597" width="14.28515625" style="3" customWidth="1"/>
    <col min="3598" max="3598" width="79.42578125" style="3" customWidth="1"/>
    <col min="3599" max="3838" width="9.140625" style="3"/>
    <col min="3839" max="3839" width="9.28515625" style="3" customWidth="1"/>
    <col min="3840" max="3842" width="5.28515625" style="3" customWidth="1"/>
    <col min="3843" max="3843" width="7.7109375" style="3" bestFit="1" customWidth="1"/>
    <col min="3844" max="3844" width="7.7109375" style="3" customWidth="1"/>
    <col min="3845" max="3845" width="9.28515625" style="3" customWidth="1"/>
    <col min="3846" max="3846" width="6.85546875" style="3" customWidth="1"/>
    <col min="3847" max="3847" width="5.28515625" style="3" customWidth="1"/>
    <col min="3848" max="3848" width="5.7109375" style="3" customWidth="1"/>
    <col min="3849" max="3849" width="6.140625" style="3" customWidth="1"/>
    <col min="3850" max="3850" width="7.7109375" style="3" customWidth="1"/>
    <col min="3851" max="3851" width="8.140625" style="3" bestFit="1" customWidth="1"/>
    <col min="3852" max="3852" width="11.28515625" style="3" bestFit="1" customWidth="1"/>
    <col min="3853" max="3853" width="14.28515625" style="3" customWidth="1"/>
    <col min="3854" max="3854" width="79.42578125" style="3" customWidth="1"/>
    <col min="3855" max="4094" width="9.140625" style="3"/>
    <col min="4095" max="4095" width="9.28515625" style="3" customWidth="1"/>
    <col min="4096" max="4098" width="5.28515625" style="3" customWidth="1"/>
    <col min="4099" max="4099" width="7.7109375" style="3" bestFit="1" customWidth="1"/>
    <col min="4100" max="4100" width="7.7109375" style="3" customWidth="1"/>
    <col min="4101" max="4101" width="9.28515625" style="3" customWidth="1"/>
    <col min="4102" max="4102" width="6.85546875" style="3" customWidth="1"/>
    <col min="4103" max="4103" width="5.28515625" style="3" customWidth="1"/>
    <col min="4104" max="4104" width="5.7109375" style="3" customWidth="1"/>
    <col min="4105" max="4105" width="6.140625" style="3" customWidth="1"/>
    <col min="4106" max="4106" width="7.7109375" style="3" customWidth="1"/>
    <col min="4107" max="4107" width="8.140625" style="3" bestFit="1" customWidth="1"/>
    <col min="4108" max="4108" width="11.28515625" style="3" bestFit="1" customWidth="1"/>
    <col min="4109" max="4109" width="14.28515625" style="3" customWidth="1"/>
    <col min="4110" max="4110" width="79.42578125" style="3" customWidth="1"/>
    <col min="4111" max="4350" width="9.140625" style="3"/>
    <col min="4351" max="4351" width="9.28515625" style="3" customWidth="1"/>
    <col min="4352" max="4354" width="5.28515625" style="3" customWidth="1"/>
    <col min="4355" max="4355" width="7.7109375" style="3" bestFit="1" customWidth="1"/>
    <col min="4356" max="4356" width="7.7109375" style="3" customWidth="1"/>
    <col min="4357" max="4357" width="9.28515625" style="3" customWidth="1"/>
    <col min="4358" max="4358" width="6.85546875" style="3" customWidth="1"/>
    <col min="4359" max="4359" width="5.28515625" style="3" customWidth="1"/>
    <col min="4360" max="4360" width="5.7109375" style="3" customWidth="1"/>
    <col min="4361" max="4361" width="6.140625" style="3" customWidth="1"/>
    <col min="4362" max="4362" width="7.7109375" style="3" customWidth="1"/>
    <col min="4363" max="4363" width="8.140625" style="3" bestFit="1" customWidth="1"/>
    <col min="4364" max="4364" width="11.28515625" style="3" bestFit="1" customWidth="1"/>
    <col min="4365" max="4365" width="14.28515625" style="3" customWidth="1"/>
    <col min="4366" max="4366" width="79.42578125" style="3" customWidth="1"/>
    <col min="4367" max="4606" width="9.140625" style="3"/>
    <col min="4607" max="4607" width="9.28515625" style="3" customWidth="1"/>
    <col min="4608" max="4610" width="5.28515625" style="3" customWidth="1"/>
    <col min="4611" max="4611" width="7.7109375" style="3" bestFit="1" customWidth="1"/>
    <col min="4612" max="4612" width="7.7109375" style="3" customWidth="1"/>
    <col min="4613" max="4613" width="9.28515625" style="3" customWidth="1"/>
    <col min="4614" max="4614" width="6.85546875" style="3" customWidth="1"/>
    <col min="4615" max="4615" width="5.28515625" style="3" customWidth="1"/>
    <col min="4616" max="4616" width="5.7109375" style="3" customWidth="1"/>
    <col min="4617" max="4617" width="6.140625" style="3" customWidth="1"/>
    <col min="4618" max="4618" width="7.7109375" style="3" customWidth="1"/>
    <col min="4619" max="4619" width="8.140625" style="3" bestFit="1" customWidth="1"/>
    <col min="4620" max="4620" width="11.28515625" style="3" bestFit="1" customWidth="1"/>
    <col min="4621" max="4621" width="14.28515625" style="3" customWidth="1"/>
    <col min="4622" max="4622" width="79.42578125" style="3" customWidth="1"/>
    <col min="4623" max="4862" width="9.140625" style="3"/>
    <col min="4863" max="4863" width="9.28515625" style="3" customWidth="1"/>
    <col min="4864" max="4866" width="5.28515625" style="3" customWidth="1"/>
    <col min="4867" max="4867" width="7.7109375" style="3" bestFit="1" customWidth="1"/>
    <col min="4868" max="4868" width="7.7109375" style="3" customWidth="1"/>
    <col min="4869" max="4869" width="9.28515625" style="3" customWidth="1"/>
    <col min="4870" max="4870" width="6.85546875" style="3" customWidth="1"/>
    <col min="4871" max="4871" width="5.28515625" style="3" customWidth="1"/>
    <col min="4872" max="4872" width="5.7109375" style="3" customWidth="1"/>
    <col min="4873" max="4873" width="6.140625" style="3" customWidth="1"/>
    <col min="4874" max="4874" width="7.7109375" style="3" customWidth="1"/>
    <col min="4875" max="4875" width="8.140625" style="3" bestFit="1" customWidth="1"/>
    <col min="4876" max="4876" width="11.28515625" style="3" bestFit="1" customWidth="1"/>
    <col min="4877" max="4877" width="14.28515625" style="3" customWidth="1"/>
    <col min="4878" max="4878" width="79.42578125" style="3" customWidth="1"/>
    <col min="4879" max="5118" width="9.140625" style="3"/>
    <col min="5119" max="5119" width="9.28515625" style="3" customWidth="1"/>
    <col min="5120" max="5122" width="5.28515625" style="3" customWidth="1"/>
    <col min="5123" max="5123" width="7.7109375" style="3" bestFit="1" customWidth="1"/>
    <col min="5124" max="5124" width="7.7109375" style="3" customWidth="1"/>
    <col min="5125" max="5125" width="9.28515625" style="3" customWidth="1"/>
    <col min="5126" max="5126" width="6.85546875" style="3" customWidth="1"/>
    <col min="5127" max="5127" width="5.28515625" style="3" customWidth="1"/>
    <col min="5128" max="5128" width="5.7109375" style="3" customWidth="1"/>
    <col min="5129" max="5129" width="6.140625" style="3" customWidth="1"/>
    <col min="5130" max="5130" width="7.7109375" style="3" customWidth="1"/>
    <col min="5131" max="5131" width="8.140625" style="3" bestFit="1" customWidth="1"/>
    <col min="5132" max="5132" width="11.28515625" style="3" bestFit="1" customWidth="1"/>
    <col min="5133" max="5133" width="14.28515625" style="3" customWidth="1"/>
    <col min="5134" max="5134" width="79.42578125" style="3" customWidth="1"/>
    <col min="5135" max="5374" width="9.140625" style="3"/>
    <col min="5375" max="5375" width="9.28515625" style="3" customWidth="1"/>
    <col min="5376" max="5378" width="5.28515625" style="3" customWidth="1"/>
    <col min="5379" max="5379" width="7.7109375" style="3" bestFit="1" customWidth="1"/>
    <col min="5380" max="5380" width="7.7109375" style="3" customWidth="1"/>
    <col min="5381" max="5381" width="9.28515625" style="3" customWidth="1"/>
    <col min="5382" max="5382" width="6.85546875" style="3" customWidth="1"/>
    <col min="5383" max="5383" width="5.28515625" style="3" customWidth="1"/>
    <col min="5384" max="5384" width="5.7109375" style="3" customWidth="1"/>
    <col min="5385" max="5385" width="6.140625" style="3" customWidth="1"/>
    <col min="5386" max="5386" width="7.7109375" style="3" customWidth="1"/>
    <col min="5387" max="5387" width="8.140625" style="3" bestFit="1" customWidth="1"/>
    <col min="5388" max="5388" width="11.28515625" style="3" bestFit="1" customWidth="1"/>
    <col min="5389" max="5389" width="14.28515625" style="3" customWidth="1"/>
    <col min="5390" max="5390" width="79.42578125" style="3" customWidth="1"/>
    <col min="5391" max="5630" width="9.140625" style="3"/>
    <col min="5631" max="5631" width="9.28515625" style="3" customWidth="1"/>
    <col min="5632" max="5634" width="5.28515625" style="3" customWidth="1"/>
    <col min="5635" max="5635" width="7.7109375" style="3" bestFit="1" customWidth="1"/>
    <col min="5636" max="5636" width="7.7109375" style="3" customWidth="1"/>
    <col min="5637" max="5637" width="9.28515625" style="3" customWidth="1"/>
    <col min="5638" max="5638" width="6.85546875" style="3" customWidth="1"/>
    <col min="5639" max="5639" width="5.28515625" style="3" customWidth="1"/>
    <col min="5640" max="5640" width="5.7109375" style="3" customWidth="1"/>
    <col min="5641" max="5641" width="6.140625" style="3" customWidth="1"/>
    <col min="5642" max="5642" width="7.7109375" style="3" customWidth="1"/>
    <col min="5643" max="5643" width="8.140625" style="3" bestFit="1" customWidth="1"/>
    <col min="5644" max="5644" width="11.28515625" style="3" bestFit="1" customWidth="1"/>
    <col min="5645" max="5645" width="14.28515625" style="3" customWidth="1"/>
    <col min="5646" max="5646" width="79.42578125" style="3" customWidth="1"/>
    <col min="5647" max="5886" width="9.140625" style="3"/>
    <col min="5887" max="5887" width="9.28515625" style="3" customWidth="1"/>
    <col min="5888" max="5890" width="5.28515625" style="3" customWidth="1"/>
    <col min="5891" max="5891" width="7.7109375" style="3" bestFit="1" customWidth="1"/>
    <col min="5892" max="5892" width="7.7109375" style="3" customWidth="1"/>
    <col min="5893" max="5893" width="9.28515625" style="3" customWidth="1"/>
    <col min="5894" max="5894" width="6.85546875" style="3" customWidth="1"/>
    <col min="5895" max="5895" width="5.28515625" style="3" customWidth="1"/>
    <col min="5896" max="5896" width="5.7109375" style="3" customWidth="1"/>
    <col min="5897" max="5897" width="6.140625" style="3" customWidth="1"/>
    <col min="5898" max="5898" width="7.7109375" style="3" customWidth="1"/>
    <col min="5899" max="5899" width="8.140625" style="3" bestFit="1" customWidth="1"/>
    <col min="5900" max="5900" width="11.28515625" style="3" bestFit="1" customWidth="1"/>
    <col min="5901" max="5901" width="14.28515625" style="3" customWidth="1"/>
    <col min="5902" max="5902" width="79.42578125" style="3" customWidth="1"/>
    <col min="5903" max="6142" width="9.140625" style="3"/>
    <col min="6143" max="6143" width="9.28515625" style="3" customWidth="1"/>
    <col min="6144" max="6146" width="5.28515625" style="3" customWidth="1"/>
    <col min="6147" max="6147" width="7.7109375" style="3" bestFit="1" customWidth="1"/>
    <col min="6148" max="6148" width="7.7109375" style="3" customWidth="1"/>
    <col min="6149" max="6149" width="9.28515625" style="3" customWidth="1"/>
    <col min="6150" max="6150" width="6.85546875" style="3" customWidth="1"/>
    <col min="6151" max="6151" width="5.28515625" style="3" customWidth="1"/>
    <col min="6152" max="6152" width="5.7109375" style="3" customWidth="1"/>
    <col min="6153" max="6153" width="6.140625" style="3" customWidth="1"/>
    <col min="6154" max="6154" width="7.7109375" style="3" customWidth="1"/>
    <col min="6155" max="6155" width="8.140625" style="3" bestFit="1" customWidth="1"/>
    <col min="6156" max="6156" width="11.28515625" style="3" bestFit="1" customWidth="1"/>
    <col min="6157" max="6157" width="14.28515625" style="3" customWidth="1"/>
    <col min="6158" max="6158" width="79.42578125" style="3" customWidth="1"/>
    <col min="6159" max="6398" width="9.140625" style="3"/>
    <col min="6399" max="6399" width="9.28515625" style="3" customWidth="1"/>
    <col min="6400" max="6402" width="5.28515625" style="3" customWidth="1"/>
    <col min="6403" max="6403" width="7.7109375" style="3" bestFit="1" customWidth="1"/>
    <col min="6404" max="6404" width="7.7109375" style="3" customWidth="1"/>
    <col min="6405" max="6405" width="9.28515625" style="3" customWidth="1"/>
    <col min="6406" max="6406" width="6.85546875" style="3" customWidth="1"/>
    <col min="6407" max="6407" width="5.28515625" style="3" customWidth="1"/>
    <col min="6408" max="6408" width="5.7109375" style="3" customWidth="1"/>
    <col min="6409" max="6409" width="6.140625" style="3" customWidth="1"/>
    <col min="6410" max="6410" width="7.7109375" style="3" customWidth="1"/>
    <col min="6411" max="6411" width="8.140625" style="3" bestFit="1" customWidth="1"/>
    <col min="6412" max="6412" width="11.28515625" style="3" bestFit="1" customWidth="1"/>
    <col min="6413" max="6413" width="14.28515625" style="3" customWidth="1"/>
    <col min="6414" max="6414" width="79.42578125" style="3" customWidth="1"/>
    <col min="6415" max="6654" width="9.140625" style="3"/>
    <col min="6655" max="6655" width="9.28515625" style="3" customWidth="1"/>
    <col min="6656" max="6658" width="5.28515625" style="3" customWidth="1"/>
    <col min="6659" max="6659" width="7.7109375" style="3" bestFit="1" customWidth="1"/>
    <col min="6660" max="6660" width="7.7109375" style="3" customWidth="1"/>
    <col min="6661" max="6661" width="9.28515625" style="3" customWidth="1"/>
    <col min="6662" max="6662" width="6.85546875" style="3" customWidth="1"/>
    <col min="6663" max="6663" width="5.28515625" style="3" customWidth="1"/>
    <col min="6664" max="6664" width="5.7109375" style="3" customWidth="1"/>
    <col min="6665" max="6665" width="6.140625" style="3" customWidth="1"/>
    <col min="6666" max="6666" width="7.7109375" style="3" customWidth="1"/>
    <col min="6667" max="6667" width="8.140625" style="3" bestFit="1" customWidth="1"/>
    <col min="6668" max="6668" width="11.28515625" style="3" bestFit="1" customWidth="1"/>
    <col min="6669" max="6669" width="14.28515625" style="3" customWidth="1"/>
    <col min="6670" max="6670" width="79.42578125" style="3" customWidth="1"/>
    <col min="6671" max="6910" width="9.140625" style="3"/>
    <col min="6911" max="6911" width="9.28515625" style="3" customWidth="1"/>
    <col min="6912" max="6914" width="5.28515625" style="3" customWidth="1"/>
    <col min="6915" max="6915" width="7.7109375" style="3" bestFit="1" customWidth="1"/>
    <col min="6916" max="6916" width="7.7109375" style="3" customWidth="1"/>
    <col min="6917" max="6917" width="9.28515625" style="3" customWidth="1"/>
    <col min="6918" max="6918" width="6.85546875" style="3" customWidth="1"/>
    <col min="6919" max="6919" width="5.28515625" style="3" customWidth="1"/>
    <col min="6920" max="6920" width="5.7109375" style="3" customWidth="1"/>
    <col min="6921" max="6921" width="6.140625" style="3" customWidth="1"/>
    <col min="6922" max="6922" width="7.7109375" style="3" customWidth="1"/>
    <col min="6923" max="6923" width="8.140625" style="3" bestFit="1" customWidth="1"/>
    <col min="6924" max="6924" width="11.28515625" style="3" bestFit="1" customWidth="1"/>
    <col min="6925" max="6925" width="14.28515625" style="3" customWidth="1"/>
    <col min="6926" max="6926" width="79.42578125" style="3" customWidth="1"/>
    <col min="6927" max="7166" width="9.140625" style="3"/>
    <col min="7167" max="7167" width="9.28515625" style="3" customWidth="1"/>
    <col min="7168" max="7170" width="5.28515625" style="3" customWidth="1"/>
    <col min="7171" max="7171" width="7.7109375" style="3" bestFit="1" customWidth="1"/>
    <col min="7172" max="7172" width="7.7109375" style="3" customWidth="1"/>
    <col min="7173" max="7173" width="9.28515625" style="3" customWidth="1"/>
    <col min="7174" max="7174" width="6.85546875" style="3" customWidth="1"/>
    <col min="7175" max="7175" width="5.28515625" style="3" customWidth="1"/>
    <col min="7176" max="7176" width="5.7109375" style="3" customWidth="1"/>
    <col min="7177" max="7177" width="6.140625" style="3" customWidth="1"/>
    <col min="7178" max="7178" width="7.7109375" style="3" customWidth="1"/>
    <col min="7179" max="7179" width="8.140625" style="3" bestFit="1" customWidth="1"/>
    <col min="7180" max="7180" width="11.28515625" style="3" bestFit="1" customWidth="1"/>
    <col min="7181" max="7181" width="14.28515625" style="3" customWidth="1"/>
    <col min="7182" max="7182" width="79.42578125" style="3" customWidth="1"/>
    <col min="7183" max="7422" width="9.140625" style="3"/>
    <col min="7423" max="7423" width="9.28515625" style="3" customWidth="1"/>
    <col min="7424" max="7426" width="5.28515625" style="3" customWidth="1"/>
    <col min="7427" max="7427" width="7.7109375" style="3" bestFit="1" customWidth="1"/>
    <col min="7428" max="7428" width="7.7109375" style="3" customWidth="1"/>
    <col min="7429" max="7429" width="9.28515625" style="3" customWidth="1"/>
    <col min="7430" max="7430" width="6.85546875" style="3" customWidth="1"/>
    <col min="7431" max="7431" width="5.28515625" style="3" customWidth="1"/>
    <col min="7432" max="7432" width="5.7109375" style="3" customWidth="1"/>
    <col min="7433" max="7433" width="6.140625" style="3" customWidth="1"/>
    <col min="7434" max="7434" width="7.7109375" style="3" customWidth="1"/>
    <col min="7435" max="7435" width="8.140625" style="3" bestFit="1" customWidth="1"/>
    <col min="7436" max="7436" width="11.28515625" style="3" bestFit="1" customWidth="1"/>
    <col min="7437" max="7437" width="14.28515625" style="3" customWidth="1"/>
    <col min="7438" max="7438" width="79.42578125" style="3" customWidth="1"/>
    <col min="7439" max="7678" width="9.140625" style="3"/>
    <col min="7679" max="7679" width="9.28515625" style="3" customWidth="1"/>
    <col min="7680" max="7682" width="5.28515625" style="3" customWidth="1"/>
    <col min="7683" max="7683" width="7.7109375" style="3" bestFit="1" customWidth="1"/>
    <col min="7684" max="7684" width="7.7109375" style="3" customWidth="1"/>
    <col min="7685" max="7685" width="9.28515625" style="3" customWidth="1"/>
    <col min="7686" max="7686" width="6.85546875" style="3" customWidth="1"/>
    <col min="7687" max="7687" width="5.28515625" style="3" customWidth="1"/>
    <col min="7688" max="7688" width="5.7109375" style="3" customWidth="1"/>
    <col min="7689" max="7689" width="6.140625" style="3" customWidth="1"/>
    <col min="7690" max="7690" width="7.7109375" style="3" customWidth="1"/>
    <col min="7691" max="7691" width="8.140625" style="3" bestFit="1" customWidth="1"/>
    <col min="7692" max="7692" width="11.28515625" style="3" bestFit="1" customWidth="1"/>
    <col min="7693" max="7693" width="14.28515625" style="3" customWidth="1"/>
    <col min="7694" max="7694" width="79.42578125" style="3" customWidth="1"/>
    <col min="7695" max="7934" width="9.140625" style="3"/>
    <col min="7935" max="7935" width="9.28515625" style="3" customWidth="1"/>
    <col min="7936" max="7938" width="5.28515625" style="3" customWidth="1"/>
    <col min="7939" max="7939" width="7.7109375" style="3" bestFit="1" customWidth="1"/>
    <col min="7940" max="7940" width="7.7109375" style="3" customWidth="1"/>
    <col min="7941" max="7941" width="9.28515625" style="3" customWidth="1"/>
    <col min="7942" max="7942" width="6.85546875" style="3" customWidth="1"/>
    <col min="7943" max="7943" width="5.28515625" style="3" customWidth="1"/>
    <col min="7944" max="7944" width="5.7109375" style="3" customWidth="1"/>
    <col min="7945" max="7945" width="6.140625" style="3" customWidth="1"/>
    <col min="7946" max="7946" width="7.7109375" style="3" customWidth="1"/>
    <col min="7947" max="7947" width="8.140625" style="3" bestFit="1" customWidth="1"/>
    <col min="7948" max="7948" width="11.28515625" style="3" bestFit="1" customWidth="1"/>
    <col min="7949" max="7949" width="14.28515625" style="3" customWidth="1"/>
    <col min="7950" max="7950" width="79.42578125" style="3" customWidth="1"/>
    <col min="7951" max="8190" width="9.140625" style="3"/>
    <col min="8191" max="8191" width="9.28515625" style="3" customWidth="1"/>
    <col min="8192" max="8194" width="5.28515625" style="3" customWidth="1"/>
    <col min="8195" max="8195" width="7.7109375" style="3" bestFit="1" customWidth="1"/>
    <col min="8196" max="8196" width="7.7109375" style="3" customWidth="1"/>
    <col min="8197" max="8197" width="9.28515625" style="3" customWidth="1"/>
    <col min="8198" max="8198" width="6.85546875" style="3" customWidth="1"/>
    <col min="8199" max="8199" width="5.28515625" style="3" customWidth="1"/>
    <col min="8200" max="8200" width="5.7109375" style="3" customWidth="1"/>
    <col min="8201" max="8201" width="6.140625" style="3" customWidth="1"/>
    <col min="8202" max="8202" width="7.7109375" style="3" customWidth="1"/>
    <col min="8203" max="8203" width="8.140625" style="3" bestFit="1" customWidth="1"/>
    <col min="8204" max="8204" width="11.28515625" style="3" bestFit="1" customWidth="1"/>
    <col min="8205" max="8205" width="14.28515625" style="3" customWidth="1"/>
    <col min="8206" max="8206" width="79.42578125" style="3" customWidth="1"/>
    <col min="8207" max="8446" width="9.140625" style="3"/>
    <col min="8447" max="8447" width="9.28515625" style="3" customWidth="1"/>
    <col min="8448" max="8450" width="5.28515625" style="3" customWidth="1"/>
    <col min="8451" max="8451" width="7.7109375" style="3" bestFit="1" customWidth="1"/>
    <col min="8452" max="8452" width="7.7109375" style="3" customWidth="1"/>
    <col min="8453" max="8453" width="9.28515625" style="3" customWidth="1"/>
    <col min="8454" max="8454" width="6.85546875" style="3" customWidth="1"/>
    <col min="8455" max="8455" width="5.28515625" style="3" customWidth="1"/>
    <col min="8456" max="8456" width="5.7109375" style="3" customWidth="1"/>
    <col min="8457" max="8457" width="6.140625" style="3" customWidth="1"/>
    <col min="8458" max="8458" width="7.7109375" style="3" customWidth="1"/>
    <col min="8459" max="8459" width="8.140625" style="3" bestFit="1" customWidth="1"/>
    <col min="8460" max="8460" width="11.28515625" style="3" bestFit="1" customWidth="1"/>
    <col min="8461" max="8461" width="14.28515625" style="3" customWidth="1"/>
    <col min="8462" max="8462" width="79.42578125" style="3" customWidth="1"/>
    <col min="8463" max="8702" width="9.140625" style="3"/>
    <col min="8703" max="8703" width="9.28515625" style="3" customWidth="1"/>
    <col min="8704" max="8706" width="5.28515625" style="3" customWidth="1"/>
    <col min="8707" max="8707" width="7.7109375" style="3" bestFit="1" customWidth="1"/>
    <col min="8708" max="8708" width="7.7109375" style="3" customWidth="1"/>
    <col min="8709" max="8709" width="9.28515625" style="3" customWidth="1"/>
    <col min="8710" max="8710" width="6.85546875" style="3" customWidth="1"/>
    <col min="8711" max="8711" width="5.28515625" style="3" customWidth="1"/>
    <col min="8712" max="8712" width="5.7109375" style="3" customWidth="1"/>
    <col min="8713" max="8713" width="6.140625" style="3" customWidth="1"/>
    <col min="8714" max="8714" width="7.7109375" style="3" customWidth="1"/>
    <col min="8715" max="8715" width="8.140625" style="3" bestFit="1" customWidth="1"/>
    <col min="8716" max="8716" width="11.28515625" style="3" bestFit="1" customWidth="1"/>
    <col min="8717" max="8717" width="14.28515625" style="3" customWidth="1"/>
    <col min="8718" max="8718" width="79.42578125" style="3" customWidth="1"/>
    <col min="8719" max="8958" width="9.140625" style="3"/>
    <col min="8959" max="8959" width="9.28515625" style="3" customWidth="1"/>
    <col min="8960" max="8962" width="5.28515625" style="3" customWidth="1"/>
    <col min="8963" max="8963" width="7.7109375" style="3" bestFit="1" customWidth="1"/>
    <col min="8964" max="8964" width="7.7109375" style="3" customWidth="1"/>
    <col min="8965" max="8965" width="9.28515625" style="3" customWidth="1"/>
    <col min="8966" max="8966" width="6.85546875" style="3" customWidth="1"/>
    <col min="8967" max="8967" width="5.28515625" style="3" customWidth="1"/>
    <col min="8968" max="8968" width="5.7109375" style="3" customWidth="1"/>
    <col min="8969" max="8969" width="6.140625" style="3" customWidth="1"/>
    <col min="8970" max="8970" width="7.7109375" style="3" customWidth="1"/>
    <col min="8971" max="8971" width="8.140625" style="3" bestFit="1" customWidth="1"/>
    <col min="8972" max="8972" width="11.28515625" style="3" bestFit="1" customWidth="1"/>
    <col min="8973" max="8973" width="14.28515625" style="3" customWidth="1"/>
    <col min="8974" max="8974" width="79.42578125" style="3" customWidth="1"/>
    <col min="8975" max="9214" width="9.140625" style="3"/>
    <col min="9215" max="9215" width="9.28515625" style="3" customWidth="1"/>
    <col min="9216" max="9218" width="5.28515625" style="3" customWidth="1"/>
    <col min="9219" max="9219" width="7.7109375" style="3" bestFit="1" customWidth="1"/>
    <col min="9220" max="9220" width="7.7109375" style="3" customWidth="1"/>
    <col min="9221" max="9221" width="9.28515625" style="3" customWidth="1"/>
    <col min="9222" max="9222" width="6.85546875" style="3" customWidth="1"/>
    <col min="9223" max="9223" width="5.28515625" style="3" customWidth="1"/>
    <col min="9224" max="9224" width="5.7109375" style="3" customWidth="1"/>
    <col min="9225" max="9225" width="6.140625" style="3" customWidth="1"/>
    <col min="9226" max="9226" width="7.7109375" style="3" customWidth="1"/>
    <col min="9227" max="9227" width="8.140625" style="3" bestFit="1" customWidth="1"/>
    <col min="9228" max="9228" width="11.28515625" style="3" bestFit="1" customWidth="1"/>
    <col min="9229" max="9229" width="14.28515625" style="3" customWidth="1"/>
    <col min="9230" max="9230" width="79.42578125" style="3" customWidth="1"/>
    <col min="9231" max="9470" width="9.140625" style="3"/>
    <col min="9471" max="9471" width="9.28515625" style="3" customWidth="1"/>
    <col min="9472" max="9474" width="5.28515625" style="3" customWidth="1"/>
    <col min="9475" max="9475" width="7.7109375" style="3" bestFit="1" customWidth="1"/>
    <col min="9476" max="9476" width="7.7109375" style="3" customWidth="1"/>
    <col min="9477" max="9477" width="9.28515625" style="3" customWidth="1"/>
    <col min="9478" max="9478" width="6.85546875" style="3" customWidth="1"/>
    <col min="9479" max="9479" width="5.28515625" style="3" customWidth="1"/>
    <col min="9480" max="9480" width="5.7109375" style="3" customWidth="1"/>
    <col min="9481" max="9481" width="6.140625" style="3" customWidth="1"/>
    <col min="9482" max="9482" width="7.7109375" style="3" customWidth="1"/>
    <col min="9483" max="9483" width="8.140625" style="3" bestFit="1" customWidth="1"/>
    <col min="9484" max="9484" width="11.28515625" style="3" bestFit="1" customWidth="1"/>
    <col min="9485" max="9485" width="14.28515625" style="3" customWidth="1"/>
    <col min="9486" max="9486" width="79.42578125" style="3" customWidth="1"/>
    <col min="9487" max="9726" width="9.140625" style="3"/>
    <col min="9727" max="9727" width="9.28515625" style="3" customWidth="1"/>
    <col min="9728" max="9730" width="5.28515625" style="3" customWidth="1"/>
    <col min="9731" max="9731" width="7.7109375" style="3" bestFit="1" customWidth="1"/>
    <col min="9732" max="9732" width="7.7109375" style="3" customWidth="1"/>
    <col min="9733" max="9733" width="9.28515625" style="3" customWidth="1"/>
    <col min="9734" max="9734" width="6.85546875" style="3" customWidth="1"/>
    <col min="9735" max="9735" width="5.28515625" style="3" customWidth="1"/>
    <col min="9736" max="9736" width="5.7109375" style="3" customWidth="1"/>
    <col min="9737" max="9737" width="6.140625" style="3" customWidth="1"/>
    <col min="9738" max="9738" width="7.7109375" style="3" customWidth="1"/>
    <col min="9739" max="9739" width="8.140625" style="3" bestFit="1" customWidth="1"/>
    <col min="9740" max="9740" width="11.28515625" style="3" bestFit="1" customWidth="1"/>
    <col min="9741" max="9741" width="14.28515625" style="3" customWidth="1"/>
    <col min="9742" max="9742" width="79.42578125" style="3" customWidth="1"/>
    <col min="9743" max="9982" width="9.140625" style="3"/>
    <col min="9983" max="9983" width="9.28515625" style="3" customWidth="1"/>
    <col min="9984" max="9986" width="5.28515625" style="3" customWidth="1"/>
    <col min="9987" max="9987" width="7.7109375" style="3" bestFit="1" customWidth="1"/>
    <col min="9988" max="9988" width="7.7109375" style="3" customWidth="1"/>
    <col min="9989" max="9989" width="9.28515625" style="3" customWidth="1"/>
    <col min="9990" max="9990" width="6.85546875" style="3" customWidth="1"/>
    <col min="9991" max="9991" width="5.28515625" style="3" customWidth="1"/>
    <col min="9992" max="9992" width="5.7109375" style="3" customWidth="1"/>
    <col min="9993" max="9993" width="6.140625" style="3" customWidth="1"/>
    <col min="9994" max="9994" width="7.7109375" style="3" customWidth="1"/>
    <col min="9995" max="9995" width="8.140625" style="3" bestFit="1" customWidth="1"/>
    <col min="9996" max="9996" width="11.28515625" style="3" bestFit="1" customWidth="1"/>
    <col min="9997" max="9997" width="14.28515625" style="3" customWidth="1"/>
    <col min="9998" max="9998" width="79.42578125" style="3" customWidth="1"/>
    <col min="9999" max="10238" width="9.140625" style="3"/>
    <col min="10239" max="10239" width="9.28515625" style="3" customWidth="1"/>
    <col min="10240" max="10242" width="5.28515625" style="3" customWidth="1"/>
    <col min="10243" max="10243" width="7.7109375" style="3" bestFit="1" customWidth="1"/>
    <col min="10244" max="10244" width="7.7109375" style="3" customWidth="1"/>
    <col min="10245" max="10245" width="9.28515625" style="3" customWidth="1"/>
    <col min="10246" max="10246" width="6.85546875" style="3" customWidth="1"/>
    <col min="10247" max="10247" width="5.28515625" style="3" customWidth="1"/>
    <col min="10248" max="10248" width="5.7109375" style="3" customWidth="1"/>
    <col min="10249" max="10249" width="6.140625" style="3" customWidth="1"/>
    <col min="10250" max="10250" width="7.7109375" style="3" customWidth="1"/>
    <col min="10251" max="10251" width="8.140625" style="3" bestFit="1" customWidth="1"/>
    <col min="10252" max="10252" width="11.28515625" style="3" bestFit="1" customWidth="1"/>
    <col min="10253" max="10253" width="14.28515625" style="3" customWidth="1"/>
    <col min="10254" max="10254" width="79.42578125" style="3" customWidth="1"/>
    <col min="10255" max="10494" width="9.140625" style="3"/>
    <col min="10495" max="10495" width="9.28515625" style="3" customWidth="1"/>
    <col min="10496" max="10498" width="5.28515625" style="3" customWidth="1"/>
    <col min="10499" max="10499" width="7.7109375" style="3" bestFit="1" customWidth="1"/>
    <col min="10500" max="10500" width="7.7109375" style="3" customWidth="1"/>
    <col min="10501" max="10501" width="9.28515625" style="3" customWidth="1"/>
    <col min="10502" max="10502" width="6.85546875" style="3" customWidth="1"/>
    <col min="10503" max="10503" width="5.28515625" style="3" customWidth="1"/>
    <col min="10504" max="10504" width="5.7109375" style="3" customWidth="1"/>
    <col min="10505" max="10505" width="6.140625" style="3" customWidth="1"/>
    <col min="10506" max="10506" width="7.7109375" style="3" customWidth="1"/>
    <col min="10507" max="10507" width="8.140625" style="3" bestFit="1" customWidth="1"/>
    <col min="10508" max="10508" width="11.28515625" style="3" bestFit="1" customWidth="1"/>
    <col min="10509" max="10509" width="14.28515625" style="3" customWidth="1"/>
    <col min="10510" max="10510" width="79.42578125" style="3" customWidth="1"/>
    <col min="10511" max="10750" width="9.140625" style="3"/>
    <col min="10751" max="10751" width="9.28515625" style="3" customWidth="1"/>
    <col min="10752" max="10754" width="5.28515625" style="3" customWidth="1"/>
    <col min="10755" max="10755" width="7.7109375" style="3" bestFit="1" customWidth="1"/>
    <col min="10756" max="10756" width="7.7109375" style="3" customWidth="1"/>
    <col min="10757" max="10757" width="9.28515625" style="3" customWidth="1"/>
    <col min="10758" max="10758" width="6.85546875" style="3" customWidth="1"/>
    <col min="10759" max="10759" width="5.28515625" style="3" customWidth="1"/>
    <col min="10760" max="10760" width="5.7109375" style="3" customWidth="1"/>
    <col min="10761" max="10761" width="6.140625" style="3" customWidth="1"/>
    <col min="10762" max="10762" width="7.7109375" style="3" customWidth="1"/>
    <col min="10763" max="10763" width="8.140625" style="3" bestFit="1" customWidth="1"/>
    <col min="10764" max="10764" width="11.28515625" style="3" bestFit="1" customWidth="1"/>
    <col min="10765" max="10765" width="14.28515625" style="3" customWidth="1"/>
    <col min="10766" max="10766" width="79.42578125" style="3" customWidth="1"/>
    <col min="10767" max="11006" width="9.140625" style="3"/>
    <col min="11007" max="11007" width="9.28515625" style="3" customWidth="1"/>
    <col min="11008" max="11010" width="5.28515625" style="3" customWidth="1"/>
    <col min="11011" max="11011" width="7.7109375" style="3" bestFit="1" customWidth="1"/>
    <col min="11012" max="11012" width="7.7109375" style="3" customWidth="1"/>
    <col min="11013" max="11013" width="9.28515625" style="3" customWidth="1"/>
    <col min="11014" max="11014" width="6.85546875" style="3" customWidth="1"/>
    <col min="11015" max="11015" width="5.28515625" style="3" customWidth="1"/>
    <col min="11016" max="11016" width="5.7109375" style="3" customWidth="1"/>
    <col min="11017" max="11017" width="6.140625" style="3" customWidth="1"/>
    <col min="11018" max="11018" width="7.7109375" style="3" customWidth="1"/>
    <col min="11019" max="11019" width="8.140625" style="3" bestFit="1" customWidth="1"/>
    <col min="11020" max="11020" width="11.28515625" style="3" bestFit="1" customWidth="1"/>
    <col min="11021" max="11021" width="14.28515625" style="3" customWidth="1"/>
    <col min="11022" max="11022" width="79.42578125" style="3" customWidth="1"/>
    <col min="11023" max="11262" width="9.140625" style="3"/>
    <col min="11263" max="11263" width="9.28515625" style="3" customWidth="1"/>
    <col min="11264" max="11266" width="5.28515625" style="3" customWidth="1"/>
    <col min="11267" max="11267" width="7.7109375" style="3" bestFit="1" customWidth="1"/>
    <col min="11268" max="11268" width="7.7109375" style="3" customWidth="1"/>
    <col min="11269" max="11269" width="9.28515625" style="3" customWidth="1"/>
    <col min="11270" max="11270" width="6.85546875" style="3" customWidth="1"/>
    <col min="11271" max="11271" width="5.28515625" style="3" customWidth="1"/>
    <col min="11272" max="11272" width="5.7109375" style="3" customWidth="1"/>
    <col min="11273" max="11273" width="6.140625" style="3" customWidth="1"/>
    <col min="11274" max="11274" width="7.7109375" style="3" customWidth="1"/>
    <col min="11275" max="11275" width="8.140625" style="3" bestFit="1" customWidth="1"/>
    <col min="11276" max="11276" width="11.28515625" style="3" bestFit="1" customWidth="1"/>
    <col min="11277" max="11277" width="14.28515625" style="3" customWidth="1"/>
    <col min="11278" max="11278" width="79.42578125" style="3" customWidth="1"/>
    <col min="11279" max="11518" width="9.140625" style="3"/>
    <col min="11519" max="11519" width="9.28515625" style="3" customWidth="1"/>
    <col min="11520" max="11522" width="5.28515625" style="3" customWidth="1"/>
    <col min="11523" max="11523" width="7.7109375" style="3" bestFit="1" customWidth="1"/>
    <col min="11524" max="11524" width="7.7109375" style="3" customWidth="1"/>
    <col min="11525" max="11525" width="9.28515625" style="3" customWidth="1"/>
    <col min="11526" max="11526" width="6.85546875" style="3" customWidth="1"/>
    <col min="11527" max="11527" width="5.28515625" style="3" customWidth="1"/>
    <col min="11528" max="11528" width="5.7109375" style="3" customWidth="1"/>
    <col min="11529" max="11529" width="6.140625" style="3" customWidth="1"/>
    <col min="11530" max="11530" width="7.7109375" style="3" customWidth="1"/>
    <col min="11531" max="11531" width="8.140625" style="3" bestFit="1" customWidth="1"/>
    <col min="11532" max="11532" width="11.28515625" style="3" bestFit="1" customWidth="1"/>
    <col min="11533" max="11533" width="14.28515625" style="3" customWidth="1"/>
    <col min="11534" max="11534" width="79.42578125" style="3" customWidth="1"/>
    <col min="11535" max="11774" width="9.140625" style="3"/>
    <col min="11775" max="11775" width="9.28515625" style="3" customWidth="1"/>
    <col min="11776" max="11778" width="5.28515625" style="3" customWidth="1"/>
    <col min="11779" max="11779" width="7.7109375" style="3" bestFit="1" customWidth="1"/>
    <col min="11780" max="11780" width="7.7109375" style="3" customWidth="1"/>
    <col min="11781" max="11781" width="9.28515625" style="3" customWidth="1"/>
    <col min="11782" max="11782" width="6.85546875" style="3" customWidth="1"/>
    <col min="11783" max="11783" width="5.28515625" style="3" customWidth="1"/>
    <col min="11784" max="11784" width="5.7109375" style="3" customWidth="1"/>
    <col min="11785" max="11785" width="6.140625" style="3" customWidth="1"/>
    <col min="11786" max="11786" width="7.7109375" style="3" customWidth="1"/>
    <col min="11787" max="11787" width="8.140625" style="3" bestFit="1" customWidth="1"/>
    <col min="11788" max="11788" width="11.28515625" style="3" bestFit="1" customWidth="1"/>
    <col min="11789" max="11789" width="14.28515625" style="3" customWidth="1"/>
    <col min="11790" max="11790" width="79.42578125" style="3" customWidth="1"/>
    <col min="11791" max="12030" width="9.140625" style="3"/>
    <col min="12031" max="12031" width="9.28515625" style="3" customWidth="1"/>
    <col min="12032" max="12034" width="5.28515625" style="3" customWidth="1"/>
    <col min="12035" max="12035" width="7.7109375" style="3" bestFit="1" customWidth="1"/>
    <col min="12036" max="12036" width="7.7109375" style="3" customWidth="1"/>
    <col min="12037" max="12037" width="9.28515625" style="3" customWidth="1"/>
    <col min="12038" max="12038" width="6.85546875" style="3" customWidth="1"/>
    <col min="12039" max="12039" width="5.28515625" style="3" customWidth="1"/>
    <col min="12040" max="12040" width="5.7109375" style="3" customWidth="1"/>
    <col min="12041" max="12041" width="6.140625" style="3" customWidth="1"/>
    <col min="12042" max="12042" width="7.7109375" style="3" customWidth="1"/>
    <col min="12043" max="12043" width="8.140625" style="3" bestFit="1" customWidth="1"/>
    <col min="12044" max="12044" width="11.28515625" style="3" bestFit="1" customWidth="1"/>
    <col min="12045" max="12045" width="14.28515625" style="3" customWidth="1"/>
    <col min="12046" max="12046" width="79.42578125" style="3" customWidth="1"/>
    <col min="12047" max="12286" width="9.140625" style="3"/>
    <col min="12287" max="12287" width="9.28515625" style="3" customWidth="1"/>
    <col min="12288" max="12290" width="5.28515625" style="3" customWidth="1"/>
    <col min="12291" max="12291" width="7.7109375" style="3" bestFit="1" customWidth="1"/>
    <col min="12292" max="12292" width="7.7109375" style="3" customWidth="1"/>
    <col min="12293" max="12293" width="9.28515625" style="3" customWidth="1"/>
    <col min="12294" max="12294" width="6.85546875" style="3" customWidth="1"/>
    <col min="12295" max="12295" width="5.28515625" style="3" customWidth="1"/>
    <col min="12296" max="12296" width="5.7109375" style="3" customWidth="1"/>
    <col min="12297" max="12297" width="6.140625" style="3" customWidth="1"/>
    <col min="12298" max="12298" width="7.7109375" style="3" customWidth="1"/>
    <col min="12299" max="12299" width="8.140625" style="3" bestFit="1" customWidth="1"/>
    <col min="12300" max="12300" width="11.28515625" style="3" bestFit="1" customWidth="1"/>
    <col min="12301" max="12301" width="14.28515625" style="3" customWidth="1"/>
    <col min="12302" max="12302" width="79.42578125" style="3" customWidth="1"/>
    <col min="12303" max="12542" width="9.140625" style="3"/>
    <col min="12543" max="12543" width="9.28515625" style="3" customWidth="1"/>
    <col min="12544" max="12546" width="5.28515625" style="3" customWidth="1"/>
    <col min="12547" max="12547" width="7.7109375" style="3" bestFit="1" customWidth="1"/>
    <col min="12548" max="12548" width="7.7109375" style="3" customWidth="1"/>
    <col min="12549" max="12549" width="9.28515625" style="3" customWidth="1"/>
    <col min="12550" max="12550" width="6.85546875" style="3" customWidth="1"/>
    <col min="12551" max="12551" width="5.28515625" style="3" customWidth="1"/>
    <col min="12552" max="12552" width="5.7109375" style="3" customWidth="1"/>
    <col min="12553" max="12553" width="6.140625" style="3" customWidth="1"/>
    <col min="12554" max="12554" width="7.7109375" style="3" customWidth="1"/>
    <col min="12555" max="12555" width="8.140625" style="3" bestFit="1" customWidth="1"/>
    <col min="12556" max="12556" width="11.28515625" style="3" bestFit="1" customWidth="1"/>
    <col min="12557" max="12557" width="14.28515625" style="3" customWidth="1"/>
    <col min="12558" max="12558" width="79.42578125" style="3" customWidth="1"/>
    <col min="12559" max="12798" width="9.140625" style="3"/>
    <col min="12799" max="12799" width="9.28515625" style="3" customWidth="1"/>
    <col min="12800" max="12802" width="5.28515625" style="3" customWidth="1"/>
    <col min="12803" max="12803" width="7.7109375" style="3" bestFit="1" customWidth="1"/>
    <col min="12804" max="12804" width="7.7109375" style="3" customWidth="1"/>
    <col min="12805" max="12805" width="9.28515625" style="3" customWidth="1"/>
    <col min="12806" max="12806" width="6.85546875" style="3" customWidth="1"/>
    <col min="12807" max="12807" width="5.28515625" style="3" customWidth="1"/>
    <col min="12808" max="12808" width="5.7109375" style="3" customWidth="1"/>
    <col min="12809" max="12809" width="6.140625" style="3" customWidth="1"/>
    <col min="12810" max="12810" width="7.7109375" style="3" customWidth="1"/>
    <col min="12811" max="12811" width="8.140625" style="3" bestFit="1" customWidth="1"/>
    <col min="12812" max="12812" width="11.28515625" style="3" bestFit="1" customWidth="1"/>
    <col min="12813" max="12813" width="14.28515625" style="3" customWidth="1"/>
    <col min="12814" max="12814" width="79.42578125" style="3" customWidth="1"/>
    <col min="12815" max="13054" width="9.140625" style="3"/>
    <col min="13055" max="13055" width="9.28515625" style="3" customWidth="1"/>
    <col min="13056" max="13058" width="5.28515625" style="3" customWidth="1"/>
    <col min="13059" max="13059" width="7.7109375" style="3" bestFit="1" customWidth="1"/>
    <col min="13060" max="13060" width="7.7109375" style="3" customWidth="1"/>
    <col min="13061" max="13061" width="9.28515625" style="3" customWidth="1"/>
    <col min="13062" max="13062" width="6.85546875" style="3" customWidth="1"/>
    <col min="13063" max="13063" width="5.28515625" style="3" customWidth="1"/>
    <col min="13064" max="13064" width="5.7109375" style="3" customWidth="1"/>
    <col min="13065" max="13065" width="6.140625" style="3" customWidth="1"/>
    <col min="13066" max="13066" width="7.7109375" style="3" customWidth="1"/>
    <col min="13067" max="13067" width="8.140625" style="3" bestFit="1" customWidth="1"/>
    <col min="13068" max="13068" width="11.28515625" style="3" bestFit="1" customWidth="1"/>
    <col min="13069" max="13069" width="14.28515625" style="3" customWidth="1"/>
    <col min="13070" max="13070" width="79.42578125" style="3" customWidth="1"/>
    <col min="13071" max="13310" width="9.140625" style="3"/>
    <col min="13311" max="13311" width="9.28515625" style="3" customWidth="1"/>
    <col min="13312" max="13314" width="5.28515625" style="3" customWidth="1"/>
    <col min="13315" max="13315" width="7.7109375" style="3" bestFit="1" customWidth="1"/>
    <col min="13316" max="13316" width="7.7109375" style="3" customWidth="1"/>
    <col min="13317" max="13317" width="9.28515625" style="3" customWidth="1"/>
    <col min="13318" max="13318" width="6.85546875" style="3" customWidth="1"/>
    <col min="13319" max="13319" width="5.28515625" style="3" customWidth="1"/>
    <col min="13320" max="13320" width="5.7109375" style="3" customWidth="1"/>
    <col min="13321" max="13321" width="6.140625" style="3" customWidth="1"/>
    <col min="13322" max="13322" width="7.7109375" style="3" customWidth="1"/>
    <col min="13323" max="13323" width="8.140625" style="3" bestFit="1" customWidth="1"/>
    <col min="13324" max="13324" width="11.28515625" style="3" bestFit="1" customWidth="1"/>
    <col min="13325" max="13325" width="14.28515625" style="3" customWidth="1"/>
    <col min="13326" max="13326" width="79.42578125" style="3" customWidth="1"/>
    <col min="13327" max="13566" width="9.140625" style="3"/>
    <col min="13567" max="13567" width="9.28515625" style="3" customWidth="1"/>
    <col min="13568" max="13570" width="5.28515625" style="3" customWidth="1"/>
    <col min="13571" max="13571" width="7.7109375" style="3" bestFit="1" customWidth="1"/>
    <col min="13572" max="13572" width="7.7109375" style="3" customWidth="1"/>
    <col min="13573" max="13573" width="9.28515625" style="3" customWidth="1"/>
    <col min="13574" max="13574" width="6.85546875" style="3" customWidth="1"/>
    <col min="13575" max="13575" width="5.28515625" style="3" customWidth="1"/>
    <col min="13576" max="13576" width="5.7109375" style="3" customWidth="1"/>
    <col min="13577" max="13577" width="6.140625" style="3" customWidth="1"/>
    <col min="13578" max="13578" width="7.7109375" style="3" customWidth="1"/>
    <col min="13579" max="13579" width="8.140625" style="3" bestFit="1" customWidth="1"/>
    <col min="13580" max="13580" width="11.28515625" style="3" bestFit="1" customWidth="1"/>
    <col min="13581" max="13581" width="14.28515625" style="3" customWidth="1"/>
    <col min="13582" max="13582" width="79.42578125" style="3" customWidth="1"/>
    <col min="13583" max="13822" width="9.140625" style="3"/>
    <col min="13823" max="13823" width="9.28515625" style="3" customWidth="1"/>
    <col min="13824" max="13826" width="5.28515625" style="3" customWidth="1"/>
    <col min="13827" max="13827" width="7.7109375" style="3" bestFit="1" customWidth="1"/>
    <col min="13828" max="13828" width="7.7109375" style="3" customWidth="1"/>
    <col min="13829" max="13829" width="9.28515625" style="3" customWidth="1"/>
    <col min="13830" max="13830" width="6.85546875" style="3" customWidth="1"/>
    <col min="13831" max="13831" width="5.28515625" style="3" customWidth="1"/>
    <col min="13832" max="13832" width="5.7109375" style="3" customWidth="1"/>
    <col min="13833" max="13833" width="6.140625" style="3" customWidth="1"/>
    <col min="13834" max="13834" width="7.7109375" style="3" customWidth="1"/>
    <col min="13835" max="13835" width="8.140625" style="3" bestFit="1" customWidth="1"/>
    <col min="13836" max="13836" width="11.28515625" style="3" bestFit="1" customWidth="1"/>
    <col min="13837" max="13837" width="14.28515625" style="3" customWidth="1"/>
    <col min="13838" max="13838" width="79.42578125" style="3" customWidth="1"/>
    <col min="13839" max="14078" width="9.140625" style="3"/>
    <col min="14079" max="14079" width="9.28515625" style="3" customWidth="1"/>
    <col min="14080" max="14082" width="5.28515625" style="3" customWidth="1"/>
    <col min="14083" max="14083" width="7.7109375" style="3" bestFit="1" customWidth="1"/>
    <col min="14084" max="14084" width="7.7109375" style="3" customWidth="1"/>
    <col min="14085" max="14085" width="9.28515625" style="3" customWidth="1"/>
    <col min="14086" max="14086" width="6.85546875" style="3" customWidth="1"/>
    <col min="14087" max="14087" width="5.28515625" style="3" customWidth="1"/>
    <col min="14088" max="14088" width="5.7109375" style="3" customWidth="1"/>
    <col min="14089" max="14089" width="6.140625" style="3" customWidth="1"/>
    <col min="14090" max="14090" width="7.7109375" style="3" customWidth="1"/>
    <col min="14091" max="14091" width="8.140625" style="3" bestFit="1" customWidth="1"/>
    <col min="14092" max="14092" width="11.28515625" style="3" bestFit="1" customWidth="1"/>
    <col min="14093" max="14093" width="14.28515625" style="3" customWidth="1"/>
    <col min="14094" max="14094" width="79.42578125" style="3" customWidth="1"/>
    <col min="14095" max="14334" width="9.140625" style="3"/>
    <col min="14335" max="14335" width="9.28515625" style="3" customWidth="1"/>
    <col min="14336" max="14338" width="5.28515625" style="3" customWidth="1"/>
    <col min="14339" max="14339" width="7.7109375" style="3" bestFit="1" customWidth="1"/>
    <col min="14340" max="14340" width="7.7109375" style="3" customWidth="1"/>
    <col min="14341" max="14341" width="9.28515625" style="3" customWidth="1"/>
    <col min="14342" max="14342" width="6.85546875" style="3" customWidth="1"/>
    <col min="14343" max="14343" width="5.28515625" style="3" customWidth="1"/>
    <col min="14344" max="14344" width="5.7109375" style="3" customWidth="1"/>
    <col min="14345" max="14345" width="6.140625" style="3" customWidth="1"/>
    <col min="14346" max="14346" width="7.7109375" style="3" customWidth="1"/>
    <col min="14347" max="14347" width="8.140625" style="3" bestFit="1" customWidth="1"/>
    <col min="14348" max="14348" width="11.28515625" style="3" bestFit="1" customWidth="1"/>
    <col min="14349" max="14349" width="14.28515625" style="3" customWidth="1"/>
    <col min="14350" max="14350" width="79.42578125" style="3" customWidth="1"/>
    <col min="14351" max="14590" width="9.140625" style="3"/>
    <col min="14591" max="14591" width="9.28515625" style="3" customWidth="1"/>
    <col min="14592" max="14594" width="5.28515625" style="3" customWidth="1"/>
    <col min="14595" max="14595" width="7.7109375" style="3" bestFit="1" customWidth="1"/>
    <col min="14596" max="14596" width="7.7109375" style="3" customWidth="1"/>
    <col min="14597" max="14597" width="9.28515625" style="3" customWidth="1"/>
    <col min="14598" max="14598" width="6.85546875" style="3" customWidth="1"/>
    <col min="14599" max="14599" width="5.28515625" style="3" customWidth="1"/>
    <col min="14600" max="14600" width="5.7109375" style="3" customWidth="1"/>
    <col min="14601" max="14601" width="6.140625" style="3" customWidth="1"/>
    <col min="14602" max="14602" width="7.7109375" style="3" customWidth="1"/>
    <col min="14603" max="14603" width="8.140625" style="3" bestFit="1" customWidth="1"/>
    <col min="14604" max="14604" width="11.28515625" style="3" bestFit="1" customWidth="1"/>
    <col min="14605" max="14605" width="14.28515625" style="3" customWidth="1"/>
    <col min="14606" max="14606" width="79.42578125" style="3" customWidth="1"/>
    <col min="14607" max="14846" width="9.140625" style="3"/>
    <col min="14847" max="14847" width="9.28515625" style="3" customWidth="1"/>
    <col min="14848" max="14850" width="5.28515625" style="3" customWidth="1"/>
    <col min="14851" max="14851" width="7.7109375" style="3" bestFit="1" customWidth="1"/>
    <col min="14852" max="14852" width="7.7109375" style="3" customWidth="1"/>
    <col min="14853" max="14853" width="9.28515625" style="3" customWidth="1"/>
    <col min="14854" max="14854" width="6.85546875" style="3" customWidth="1"/>
    <col min="14855" max="14855" width="5.28515625" style="3" customWidth="1"/>
    <col min="14856" max="14856" width="5.7109375" style="3" customWidth="1"/>
    <col min="14857" max="14857" width="6.140625" style="3" customWidth="1"/>
    <col min="14858" max="14858" width="7.7109375" style="3" customWidth="1"/>
    <col min="14859" max="14859" width="8.140625" style="3" bestFit="1" customWidth="1"/>
    <col min="14860" max="14860" width="11.28515625" style="3" bestFit="1" customWidth="1"/>
    <col min="14861" max="14861" width="14.28515625" style="3" customWidth="1"/>
    <col min="14862" max="14862" width="79.42578125" style="3" customWidth="1"/>
    <col min="14863" max="15102" width="9.140625" style="3"/>
    <col min="15103" max="15103" width="9.28515625" style="3" customWidth="1"/>
    <col min="15104" max="15106" width="5.28515625" style="3" customWidth="1"/>
    <col min="15107" max="15107" width="7.7109375" style="3" bestFit="1" customWidth="1"/>
    <col min="15108" max="15108" width="7.7109375" style="3" customWidth="1"/>
    <col min="15109" max="15109" width="9.28515625" style="3" customWidth="1"/>
    <col min="15110" max="15110" width="6.85546875" style="3" customWidth="1"/>
    <col min="15111" max="15111" width="5.28515625" style="3" customWidth="1"/>
    <col min="15112" max="15112" width="5.7109375" style="3" customWidth="1"/>
    <col min="15113" max="15113" width="6.140625" style="3" customWidth="1"/>
    <col min="15114" max="15114" width="7.7109375" style="3" customWidth="1"/>
    <col min="15115" max="15115" width="8.140625" style="3" bestFit="1" customWidth="1"/>
    <col min="15116" max="15116" width="11.28515625" style="3" bestFit="1" customWidth="1"/>
    <col min="15117" max="15117" width="14.28515625" style="3" customWidth="1"/>
    <col min="15118" max="15118" width="79.42578125" style="3" customWidth="1"/>
    <col min="15119" max="15358" width="9.140625" style="3"/>
    <col min="15359" max="15359" width="9.28515625" style="3" customWidth="1"/>
    <col min="15360" max="15362" width="5.28515625" style="3" customWidth="1"/>
    <col min="15363" max="15363" width="7.7109375" style="3" bestFit="1" customWidth="1"/>
    <col min="15364" max="15364" width="7.7109375" style="3" customWidth="1"/>
    <col min="15365" max="15365" width="9.28515625" style="3" customWidth="1"/>
    <col min="15366" max="15366" width="6.85546875" style="3" customWidth="1"/>
    <col min="15367" max="15367" width="5.28515625" style="3" customWidth="1"/>
    <col min="15368" max="15368" width="5.7109375" style="3" customWidth="1"/>
    <col min="15369" max="15369" width="6.140625" style="3" customWidth="1"/>
    <col min="15370" max="15370" width="7.7109375" style="3" customWidth="1"/>
    <col min="15371" max="15371" width="8.140625" style="3" bestFit="1" customWidth="1"/>
    <col min="15372" max="15372" width="11.28515625" style="3" bestFit="1" customWidth="1"/>
    <col min="15373" max="15373" width="14.28515625" style="3" customWidth="1"/>
    <col min="15374" max="15374" width="79.42578125" style="3" customWidth="1"/>
    <col min="15375" max="15614" width="9.140625" style="3"/>
    <col min="15615" max="15615" width="9.28515625" style="3" customWidth="1"/>
    <col min="15616" max="15618" width="5.28515625" style="3" customWidth="1"/>
    <col min="15619" max="15619" width="7.7109375" style="3" bestFit="1" customWidth="1"/>
    <col min="15620" max="15620" width="7.7109375" style="3" customWidth="1"/>
    <col min="15621" max="15621" width="9.28515625" style="3" customWidth="1"/>
    <col min="15622" max="15622" width="6.85546875" style="3" customWidth="1"/>
    <col min="15623" max="15623" width="5.28515625" style="3" customWidth="1"/>
    <col min="15624" max="15624" width="5.7109375" style="3" customWidth="1"/>
    <col min="15625" max="15625" width="6.140625" style="3" customWidth="1"/>
    <col min="15626" max="15626" width="7.7109375" style="3" customWidth="1"/>
    <col min="15627" max="15627" width="8.140625" style="3" bestFit="1" customWidth="1"/>
    <col min="15628" max="15628" width="11.28515625" style="3" bestFit="1" customWidth="1"/>
    <col min="15629" max="15629" width="14.28515625" style="3" customWidth="1"/>
    <col min="15630" max="15630" width="79.42578125" style="3" customWidth="1"/>
    <col min="15631" max="15870" width="9.140625" style="3"/>
    <col min="15871" max="15871" width="9.28515625" style="3" customWidth="1"/>
    <col min="15872" max="15874" width="5.28515625" style="3" customWidth="1"/>
    <col min="15875" max="15875" width="7.7109375" style="3" bestFit="1" customWidth="1"/>
    <col min="15876" max="15876" width="7.7109375" style="3" customWidth="1"/>
    <col min="15877" max="15877" width="9.28515625" style="3" customWidth="1"/>
    <col min="15878" max="15878" width="6.85546875" style="3" customWidth="1"/>
    <col min="15879" max="15879" width="5.28515625" style="3" customWidth="1"/>
    <col min="15880" max="15880" width="5.7109375" style="3" customWidth="1"/>
    <col min="15881" max="15881" width="6.140625" style="3" customWidth="1"/>
    <col min="15882" max="15882" width="7.7109375" style="3" customWidth="1"/>
    <col min="15883" max="15883" width="8.140625" style="3" bestFit="1" customWidth="1"/>
    <col min="15884" max="15884" width="11.28515625" style="3" bestFit="1" customWidth="1"/>
    <col min="15885" max="15885" width="14.28515625" style="3" customWidth="1"/>
    <col min="15886" max="15886" width="79.42578125" style="3" customWidth="1"/>
    <col min="15887" max="16126" width="9.140625" style="3"/>
    <col min="16127" max="16127" width="9.28515625" style="3" customWidth="1"/>
    <col min="16128" max="16130" width="5.28515625" style="3" customWidth="1"/>
    <col min="16131" max="16131" width="7.7109375" style="3" bestFit="1" customWidth="1"/>
    <col min="16132" max="16132" width="7.7109375" style="3" customWidth="1"/>
    <col min="16133" max="16133" width="9.28515625" style="3" customWidth="1"/>
    <col min="16134" max="16134" width="6.85546875" style="3" customWidth="1"/>
    <col min="16135" max="16135" width="5.28515625" style="3" customWidth="1"/>
    <col min="16136" max="16136" width="5.7109375" style="3" customWidth="1"/>
    <col min="16137" max="16137" width="6.140625" style="3" customWidth="1"/>
    <col min="16138" max="16138" width="7.7109375" style="3" customWidth="1"/>
    <col min="16139" max="16139" width="8.140625" style="3" bestFit="1" customWidth="1"/>
    <col min="16140" max="16140" width="11.28515625" style="3" bestFit="1" customWidth="1"/>
    <col min="16141" max="16141" width="14.28515625" style="3" customWidth="1"/>
    <col min="16142" max="16142" width="79.42578125" style="3" customWidth="1"/>
    <col min="16143" max="16384" width="9.140625" style="3"/>
  </cols>
  <sheetData>
    <row r="1" spans="1:22" ht="35.25" customHeight="1" thickBot="1" x14ac:dyDescent="0.5">
      <c r="A1" s="1"/>
      <c r="B1" s="1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1"/>
      <c r="P1" s="151"/>
      <c r="Q1" s="151"/>
      <c r="R1" s="151"/>
      <c r="S1" s="151"/>
      <c r="T1" s="151"/>
      <c r="U1" s="151"/>
      <c r="V1" s="151"/>
    </row>
    <row r="2" spans="1:22" ht="29.25" thickBot="1" x14ac:dyDescent="0.35">
      <c r="A2" s="258" t="s">
        <v>41</v>
      </c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P2" s="151"/>
      <c r="Q2" s="151"/>
      <c r="R2" s="151"/>
      <c r="S2" s="151"/>
      <c r="T2" s="151"/>
      <c r="U2" s="151"/>
      <c r="V2" s="151"/>
    </row>
    <row r="3" spans="1:22" ht="24" hidden="1" customHeight="1" thickBot="1" x14ac:dyDescent="0.35">
      <c r="A3" s="274" t="s">
        <v>42</v>
      </c>
      <c r="B3" s="275"/>
      <c r="C3" s="275"/>
      <c r="D3" s="275"/>
      <c r="E3" s="275"/>
      <c r="F3" s="275"/>
      <c r="G3" s="275"/>
      <c r="H3" s="276"/>
      <c r="I3" s="272" t="s">
        <v>143</v>
      </c>
      <c r="J3" s="273"/>
      <c r="K3" s="273"/>
      <c r="L3" s="273"/>
      <c r="M3" s="122"/>
      <c r="N3" s="123"/>
      <c r="O3" s="124"/>
      <c r="P3" s="151"/>
      <c r="Q3" s="151"/>
      <c r="R3" s="151"/>
      <c r="S3" s="151"/>
      <c r="T3" s="151"/>
      <c r="U3" s="151"/>
      <c r="V3" s="151"/>
    </row>
    <row r="4" spans="1:22" ht="24" customHeight="1" x14ac:dyDescent="0.3">
      <c r="A4" s="277" t="s">
        <v>240</v>
      </c>
      <c r="B4" s="278"/>
      <c r="C4" s="278"/>
      <c r="D4" s="278"/>
      <c r="E4" s="278"/>
      <c r="F4" s="278"/>
      <c r="G4" s="278"/>
      <c r="H4" s="278"/>
      <c r="I4" s="269" t="s">
        <v>110</v>
      </c>
      <c r="J4" s="270"/>
      <c r="K4" s="270"/>
      <c r="L4" s="271"/>
      <c r="M4" s="125"/>
      <c r="N4" s="126"/>
      <c r="O4" s="127"/>
      <c r="P4" s="151"/>
      <c r="Q4" s="151"/>
      <c r="R4" s="151"/>
      <c r="S4" s="151"/>
      <c r="T4" s="151"/>
      <c r="U4" s="151"/>
      <c r="V4" s="151"/>
    </row>
    <row r="5" spans="1:22" ht="24" customHeight="1" x14ac:dyDescent="0.3">
      <c r="A5" s="277" t="s">
        <v>241</v>
      </c>
      <c r="B5" s="278"/>
      <c r="C5" s="278"/>
      <c r="D5" s="278"/>
      <c r="E5" s="278"/>
      <c r="F5" s="278"/>
      <c r="G5" s="278"/>
      <c r="H5" s="278"/>
      <c r="I5" s="266" t="s">
        <v>67</v>
      </c>
      <c r="J5" s="267"/>
      <c r="K5" s="267"/>
      <c r="L5" s="268"/>
      <c r="M5" s="128"/>
      <c r="N5" s="125"/>
      <c r="O5" s="129"/>
      <c r="P5" s="151"/>
      <c r="Q5" s="151"/>
      <c r="R5" s="151"/>
      <c r="S5" s="151"/>
      <c r="T5" s="151"/>
      <c r="U5" s="151"/>
      <c r="V5" s="151"/>
    </row>
    <row r="6" spans="1:22" ht="19.5" customHeight="1" x14ac:dyDescent="0.3">
      <c r="A6" s="5"/>
      <c r="B6" s="5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51"/>
      <c r="R6" s="151"/>
      <c r="S6" s="151"/>
      <c r="T6" s="151"/>
      <c r="U6" s="151"/>
      <c r="V6" s="151"/>
    </row>
    <row r="7" spans="1:22" ht="17.25" customHeight="1" x14ac:dyDescent="0.3">
      <c r="A7" s="134"/>
      <c r="B7" s="261" t="s">
        <v>44</v>
      </c>
      <c r="C7" s="261"/>
      <c r="D7" s="261"/>
      <c r="E7" s="261"/>
      <c r="F7" s="261"/>
      <c r="G7" s="262"/>
      <c r="H7" s="262" t="s">
        <v>45</v>
      </c>
      <c r="I7" s="263"/>
      <c r="J7" s="263"/>
      <c r="K7" s="263"/>
      <c r="L7" s="263"/>
      <c r="M7" s="263"/>
      <c r="N7" s="24" t="s">
        <v>46</v>
      </c>
      <c r="O7" s="264" t="s">
        <v>47</v>
      </c>
      <c r="P7" s="263" t="s">
        <v>48</v>
      </c>
      <c r="Q7" s="252" t="s">
        <v>186</v>
      </c>
      <c r="R7" s="251" t="s">
        <v>211</v>
      </c>
      <c r="S7" s="251" t="s">
        <v>212</v>
      </c>
      <c r="T7" s="252" t="s">
        <v>213</v>
      </c>
      <c r="U7" s="252" t="s">
        <v>214</v>
      </c>
      <c r="V7" s="251" t="s">
        <v>187</v>
      </c>
    </row>
    <row r="8" spans="1:22" s="8" customFormat="1" ht="15.75" customHeight="1" x14ac:dyDescent="0.3">
      <c r="A8" s="133" t="s">
        <v>43</v>
      </c>
      <c r="B8" s="132">
        <v>1</v>
      </c>
      <c r="C8" s="132">
        <v>2</v>
      </c>
      <c r="D8" s="132">
        <v>3</v>
      </c>
      <c r="E8" s="132">
        <v>4</v>
      </c>
      <c r="F8" s="132" t="s">
        <v>49</v>
      </c>
      <c r="G8" s="132" t="s">
        <v>50</v>
      </c>
      <c r="H8" s="6">
        <v>1</v>
      </c>
      <c r="I8" s="6">
        <v>2</v>
      </c>
      <c r="J8" s="6">
        <v>3</v>
      </c>
      <c r="K8" s="6">
        <v>4</v>
      </c>
      <c r="L8" s="6" t="s">
        <v>49</v>
      </c>
      <c r="M8" s="6" t="s">
        <v>50</v>
      </c>
      <c r="N8" s="7" t="s">
        <v>51</v>
      </c>
      <c r="O8" s="265"/>
      <c r="P8" s="263"/>
      <c r="Q8" s="252"/>
      <c r="R8" s="251"/>
      <c r="S8" s="251"/>
      <c r="T8" s="252"/>
      <c r="U8" s="252"/>
      <c r="V8" s="251"/>
    </row>
    <row r="9" spans="1:22" ht="18" x14ac:dyDescent="0.35">
      <c r="A9" s="9" t="s">
        <v>14</v>
      </c>
      <c r="B9" s="23">
        <f>IF($I$5="ALL",COUNTIFS(Database!$B$4:$B$3333,"="&amp;$I$4,Database!$G$4:$G$3333,"=1"),COUNTIFS(Database!$F$4:$F$3333,"="&amp;$I$5,Database!$B$4:$B$3333,"="&amp;$I$4,Database!$G$4:$G$3333,"=1"))</f>
        <v>0</v>
      </c>
      <c r="C9" s="23">
        <f>IF($I$5="ALL",COUNTIFS(Database!$B$4:$B$3333,"="&amp;$I$4,Database!$G$4:$G$3333,"=2"),COUNTIFS(Database!$F$4:$F$3333,"="&amp;$I$5,Database!$B$4:$B$3333,"="&amp;$I$4,Database!$G$4:$G$3333,"=2"))</f>
        <v>0</v>
      </c>
      <c r="D9" s="23">
        <f>IF($I$5="ALL",COUNTIFS(Database!$B$4:$B$3333,"="&amp;$I$4,Database!$G$4:$G$3333,"=3"),COUNTIFS(Database!$F$4:$F$3333,"="&amp;$I$5,Database!$B$4:$B$3333,"="&amp;$I$4,Database!$G$4:$G$3333,"=3"))</f>
        <v>0</v>
      </c>
      <c r="E9" s="23">
        <f>IF($I$5="ALL",COUNTIFS(Database!$B$4:$B$3333,"="&amp;$I$4,Database!$G$4:$G$3333,"=4"),COUNTIFS(Database!$F$4:$F$3333,"="&amp;$I$5,Database!$B$4:$B$3333,"="&amp;$I$4,Database!$G$4:$G$3333,"=4"))</f>
        <v>0</v>
      </c>
      <c r="F9" s="9">
        <f>(B9*$B$8)+(C9*$C$8)+(D9*$D$8)+(E9*$E$8)</f>
        <v>0</v>
      </c>
      <c r="G9" s="10" t="e">
        <f>F9/(E9+D9+C9+B9)</f>
        <v>#DIV/0!</v>
      </c>
      <c r="H9" s="23">
        <f>IF($I$5="ALL",COUNTIFS(Database!$AC$4:$AC$3333,"="&amp;$I$4,Database!$AH$4:$AH$3333,"=1"),COUNTIFS(Database!$AG$4:$AG$3333,"="&amp;$I$5,Database!$AC$4:$AC$3333,"="&amp;$I$4,Database!$AH$4:$AH$3333,"=1"))</f>
        <v>0</v>
      </c>
      <c r="I9" s="23">
        <f>IF($I$5="ALL",COUNTIFS(Database!$AC$4:$AC$3333,"="&amp;$I$4,Database!$AH$4:$AH$3333,"=2"),COUNTIFS(Database!$AG$4:$AG$3333,"="&amp;$I$5,Database!$AC$4:$AC$3333,"="&amp;$I$4,Database!$AH$4:$AH$3333,"=2"))</f>
        <v>0</v>
      </c>
      <c r="J9" s="23">
        <f>IF($I$5="ALL",COUNTIFS(Database!$AC$4:$AC$3333,"="&amp;$I$4,Database!$AH$4:$AH$3333,"=3"),COUNTIFS(Database!$AG$4:$AG$3333,"="&amp;$I$5,Database!$AC$4:$AC$3333,"="&amp;$I$4,Database!$AH$4:$AH$3333,"=3"))</f>
        <v>0</v>
      </c>
      <c r="K9" s="23">
        <f>IF($I$5="ALL",COUNTIFS(Database!$AC$4:$AC$3333,"="&amp;$I$4,Database!$AH$4:$AH$3333,"=4"),COUNTIFS(Database!$AG$4:$AG$3333,"="&amp;$I$5,Database!$AC$4:$AC$3333,"="&amp;$I$4,Database!$AH$4:$AH$3333,"=4"))</f>
        <v>0</v>
      </c>
      <c r="L9" s="9">
        <f>(H9*$H$8)+(I9*$I$8)+(J9*$J$8)+(K9*$K$8)</f>
        <v>0</v>
      </c>
      <c r="M9" s="10" t="e">
        <f>L9/(K9+J9+I9+H9)</f>
        <v>#DIV/0!</v>
      </c>
      <c r="N9" s="10" t="e">
        <f>+M9-G9</f>
        <v>#DIV/0!</v>
      </c>
      <c r="O9" s="32" t="e">
        <f>RANK(N9,$N$9:$N$28,0)</f>
        <v>#DIV/0!</v>
      </c>
      <c r="P9" s="11" t="s">
        <v>52</v>
      </c>
      <c r="Q9" s="70" t="e">
        <f>RANK(N9,$N$9:$N$12,0)</f>
        <v>#DIV/0!</v>
      </c>
      <c r="R9" s="6" t="e">
        <f>RANK(G9,$G$9:$G$28)</f>
        <v>#DIV/0!</v>
      </c>
      <c r="S9" s="6" t="e">
        <f>RANK(M9,$M$9:$M$29)</f>
        <v>#DIV/0!</v>
      </c>
      <c r="T9" s="82" t="e">
        <f>RANK(G9,$G$9:$G$12)</f>
        <v>#DIV/0!</v>
      </c>
      <c r="U9" s="82" t="e">
        <f>RANK(M9,$M$9:$M$12)</f>
        <v>#DIV/0!</v>
      </c>
      <c r="V9" s="257" t="s">
        <v>181</v>
      </c>
    </row>
    <row r="10" spans="1:22" ht="18" x14ac:dyDescent="0.35">
      <c r="A10" s="9" t="s">
        <v>15</v>
      </c>
      <c r="B10" s="23">
        <f>IF($I$5="ALL",COUNTIFS(Database!$B$4:$B$3333,"="&amp;$I$4,Database!$H$4:$H$3333,"=1"),COUNTIFS(Database!$F$4:$F$3333,"="&amp;$I$5,Database!$B$4:$B$3333,"="&amp;$I$4,Database!$H$4:$H$3333,"=1"))</f>
        <v>0</v>
      </c>
      <c r="C10" s="23">
        <f>IF($I$5="ALL",COUNTIFS(Database!$B$4:$B$3333,"="&amp;$I$4,Database!$H$4:$H$3333,"=2"),COUNTIFS(Database!$F$4:$F$3333,"="&amp;$I$5,Database!$B$4:$B$3333,"="&amp;$I$4,Database!$H$4:$H$3333,"=2"))</f>
        <v>0</v>
      </c>
      <c r="D10" s="23">
        <f>IF($I$5="ALL",COUNTIFS(Database!$B$4:$B$3333,"="&amp;$I$4,Database!$H$4:$H$3333,"=3"),COUNTIFS(Database!$F$4:$F$3333,"="&amp;$I$5,Database!$B$4:$B$3333,"="&amp;$I$4,Database!$H$4:$H$3333,"=3"))</f>
        <v>0</v>
      </c>
      <c r="E10" s="23">
        <f>IF($I$5="ALL",COUNTIFS(Database!$B$4:$B$3333,"="&amp;$I$4,Database!$H$4:$H$3333,"=4"),COUNTIFS(Database!$F$4:$F$3333,"="&amp;$I$5,Database!$B$4:$B$3333,"="&amp;$I$4,Database!$H$4:$H$3333,"=4"))</f>
        <v>0</v>
      </c>
      <c r="F10" s="9">
        <f t="shared" ref="F10:F28" si="0">(B10*$B$8)+(C10*$C$8)+(D10*$D$8)+(E10*$E$8)</f>
        <v>0</v>
      </c>
      <c r="G10" s="10" t="e">
        <f>F10/(E10+D10+C10+B10)</f>
        <v>#DIV/0!</v>
      </c>
      <c r="H10" s="23">
        <f>IF($I$5="ALL",COUNTIFS(Database!$AC$4:$AC$3333,"="&amp;$I$4,Database!$AI$4:$AI$3333,"=1"),COUNTIFS(Database!$AG$4:$AG$3333,"="&amp;$I$5,Database!$AC$4:$AC$3333,"="&amp;$I$4,Database!$AI$4:$AI$3333,"=1"))</f>
        <v>0</v>
      </c>
      <c r="I10" s="23">
        <f>IF($I$5="ALL",COUNTIFS(Database!$AC$4:$AC$3333,"="&amp;$I$4,Database!$AI$4:$AI$3333,"=2"),COUNTIFS(Database!$AG$4:$AG$3333,"="&amp;$I$5,Database!$AC$4:$AC$3333,"="&amp;$I$4,Database!$AI$4:$AI$3333,"=2"))</f>
        <v>0</v>
      </c>
      <c r="J10" s="23">
        <f>IF($I$5="ALL",COUNTIFS(Database!$AC$4:$AC$3333,"="&amp;$I$4,Database!$AI$4:$AI$3333,"=3"),COUNTIFS(Database!$AG$4:$AG$3333,"="&amp;$I$5,Database!$AC$4:$AC$3333,"="&amp;$I$4,Database!$AI$4:$AI$3333,"=3"))</f>
        <v>0</v>
      </c>
      <c r="K10" s="23">
        <f>IF($I$5="ALL",COUNTIFS(Database!$AC$4:$AC$3333,"="&amp;$I$4,Database!$AI$4:$AI$3333,"=4"),COUNTIFS(Database!$AG$4:$AG$3333,"="&amp;$I$5,Database!$AC$4:$AC$3333,"="&amp;$I$4,Database!$AI$4:$AI$3333,"=4"))</f>
        <v>0</v>
      </c>
      <c r="L10" s="9">
        <f t="shared" ref="L10:L28" si="1">(H10*$H$8)+(I10*$I$8)+(J10*$J$8)+(K10*$K$8)</f>
        <v>0</v>
      </c>
      <c r="M10" s="10" t="e">
        <f t="shared" ref="M10:M28" si="2">L10/(K10+J10+I10+H10)</f>
        <v>#DIV/0!</v>
      </c>
      <c r="N10" s="10" t="e">
        <f t="shared" ref="N10:N28" si="3">+M10-G10</f>
        <v>#DIV/0!</v>
      </c>
      <c r="O10" s="32" t="e">
        <f t="shared" ref="O10:O28" si="4">RANK(N10,$N$9:$N$28,0)</f>
        <v>#DIV/0!</v>
      </c>
      <c r="P10" s="11" t="s">
        <v>53</v>
      </c>
      <c r="Q10" s="32" t="e">
        <f t="shared" ref="Q10:Q12" si="5">RANK(N10,$N$9:$N$12,0)</f>
        <v>#DIV/0!</v>
      </c>
      <c r="R10" s="6" t="e">
        <f t="shared" ref="R10:R28" si="6">RANK(G10,$G$9:$G$28)</f>
        <v>#DIV/0!</v>
      </c>
      <c r="S10" s="6" t="e">
        <f t="shared" ref="S10:S28" si="7">RANK(M10,$M$9:$M$29)</f>
        <v>#DIV/0!</v>
      </c>
      <c r="T10" s="82" t="e">
        <f t="shared" ref="T10:T12" si="8">RANK(G10,$G$9:$G$12)</f>
        <v>#DIV/0!</v>
      </c>
      <c r="U10" s="82" t="e">
        <f t="shared" ref="U10:U12" si="9">RANK(M10,$M$9:$M$12)</f>
        <v>#DIV/0!</v>
      </c>
      <c r="V10" s="257"/>
    </row>
    <row r="11" spans="1:22" ht="18" x14ac:dyDescent="0.35">
      <c r="A11" s="9" t="s">
        <v>16</v>
      </c>
      <c r="B11" s="23">
        <f>IF($I$5="ALL",COUNTIFS(Database!$B$4:$B$3333,"="&amp;$I$4,Database!$I$4:$I$3333,"=1"),COUNTIFS(Database!$F$4:$F$3333,"="&amp;$I$5,Database!$B$4:$B$3333,"="&amp;$I$4,Database!$I$4:$I$3333,"=1"))</f>
        <v>0</v>
      </c>
      <c r="C11" s="23">
        <f>IF($I$5="ALL",COUNTIFS(Database!$B$4:$B$3333,"="&amp;$I$4,Database!$I$4:$I$3333,"=2"),COUNTIFS(Database!$F$4:$F$3333,"="&amp;$I$5,Database!$B$4:$B$3333,"="&amp;$I$4,Database!$I$4:$I$3333,"=2"))</f>
        <v>0</v>
      </c>
      <c r="D11" s="23">
        <f>IF($I$5="ALL",COUNTIFS(Database!$B$4:$B$3333,"="&amp;$I$4,Database!$I$4:$I$3333,"=3"),COUNTIFS(Database!$F$4:$F$3333,"="&amp;$I$5,Database!$B$4:$B$3333,"="&amp;$I$4,Database!$I$4:$I$3333,"=3"))</f>
        <v>0</v>
      </c>
      <c r="E11" s="23">
        <f>IF($I$5="ALL",COUNTIFS(Database!$B$4:$B$3333,"="&amp;$I$4,Database!$I$4:$I$3333,"=4"),COUNTIFS(Database!$F$4:$F$3333,"="&amp;$I$5,Database!$B$4:$B$3333,"="&amp;$I$4,Database!$I$4:$I$3333,"=4"))</f>
        <v>0</v>
      </c>
      <c r="F11" s="9">
        <f>(B11*$B$8)+(C11*$C$8)+(D11*$D$8)+(E11*$E$8)</f>
        <v>0</v>
      </c>
      <c r="G11" s="10" t="e">
        <f t="shared" ref="G11:G28" si="10">F11/(E11+D11+C11+B11)</f>
        <v>#DIV/0!</v>
      </c>
      <c r="H11" s="23">
        <f>IF($I$5="ALL",COUNTIFS(Database!$AC$4:$AC$3333,"="&amp;$I$4,Database!$AJ$4:$AJ$3333,"=1"),COUNTIFS(Database!$AG$4:$AG$3333,"="&amp;$I$5,Database!$AC$4:$AC$3333,"="&amp;$I$4,Database!$AJ$4:$AJ$3333,"=1"))</f>
        <v>0</v>
      </c>
      <c r="I11" s="23">
        <f>IF($I$5="ALL",COUNTIFS(Database!$AC$4:$AC$3333,"="&amp;$I$4,Database!$AJ$4:$AJ$3333,"=2"),COUNTIFS(Database!$AG$4:$AG$3333,"="&amp;$I$5,Database!$AC$4:$AC$3333,"="&amp;$I$4,Database!$AJ$4:$AJ$3333,"=2"))</f>
        <v>0</v>
      </c>
      <c r="J11" s="23">
        <f>IF($I$5="ALL",COUNTIFS(Database!$AC$4:$AC$3333,"="&amp;$I$4,Database!$AJ$4:$AJ$3333,"=3"),COUNTIFS(Database!$AG$4:$AG$3333,"="&amp;$I$5,Database!$AC$4:$AC$3333,"="&amp;$I$4,Database!$AJ$4:$AJ$3333,"=3"))</f>
        <v>0</v>
      </c>
      <c r="K11" s="23">
        <f>IF($I$5="ALL",COUNTIFS(Database!$AC$4:$AC$3333,"="&amp;$I$4,Database!$AJ$4:$AJ$3333,"=4"),COUNTIFS(Database!$AG$4:$AG$3333,"="&amp;$I$5,Database!$AC$4:$AC$3333,"="&amp;$I$4,Database!$AJ$4:$AJ$3333,"=4"))</f>
        <v>0</v>
      </c>
      <c r="L11" s="9">
        <f t="shared" si="1"/>
        <v>0</v>
      </c>
      <c r="M11" s="10" t="e">
        <f t="shared" si="2"/>
        <v>#DIV/0!</v>
      </c>
      <c r="N11" s="10" t="e">
        <f t="shared" si="3"/>
        <v>#DIV/0!</v>
      </c>
      <c r="O11" s="32" t="e">
        <f t="shared" si="4"/>
        <v>#DIV/0!</v>
      </c>
      <c r="P11" s="11" t="s">
        <v>0</v>
      </c>
      <c r="Q11" s="32" t="e">
        <f t="shared" si="5"/>
        <v>#DIV/0!</v>
      </c>
      <c r="R11" s="6" t="e">
        <f t="shared" si="6"/>
        <v>#DIV/0!</v>
      </c>
      <c r="S11" s="6" t="e">
        <f t="shared" si="7"/>
        <v>#DIV/0!</v>
      </c>
      <c r="T11" s="82" t="e">
        <f t="shared" si="8"/>
        <v>#DIV/0!</v>
      </c>
      <c r="U11" s="82" t="e">
        <f t="shared" si="9"/>
        <v>#DIV/0!</v>
      </c>
      <c r="V11" s="257"/>
    </row>
    <row r="12" spans="1:22" ht="18" x14ac:dyDescent="0.35">
      <c r="A12" s="9" t="s">
        <v>17</v>
      </c>
      <c r="B12" s="23">
        <f>IF($I$5="ALL",COUNTIFS(Database!$B$4:$B$3333,"="&amp;$I$4,Database!$J$4:$J$3333,"=1"),COUNTIFS(Database!$F$4:$F$3333,"="&amp;$I$5,Database!$B$4:$B$3333,"="&amp;$I$4,Database!$J$4:$J$3333,"=1"))</f>
        <v>0</v>
      </c>
      <c r="C12" s="23">
        <f>IF($I$5="ALL",COUNTIFS(Database!$B$4:$B$3333,"="&amp;$I$4,Database!$J$4:$J$3333,"=2"),COUNTIFS(Database!$F$4:$F$3333,"="&amp;$I$5,Database!$B$4:$B$3333,"="&amp;$I$4,Database!$J$4:$J$3333,"=2"))</f>
        <v>0</v>
      </c>
      <c r="D12" s="23">
        <f>IF($I$5="ALL",COUNTIFS(Database!$B$4:$B$3333,"="&amp;$I$4,Database!$J$4:$J$3333,"=3"),COUNTIFS(Database!$F$4:$F$3333,"="&amp;$I$5,Database!$B$4:$B$3333,"="&amp;$I$4,Database!$J$4:$J$3333,"=3"))</f>
        <v>0</v>
      </c>
      <c r="E12" s="23">
        <f>IF($I$5="ALL",COUNTIFS(Database!$B$4:$B$3333,"="&amp;$I$4,Database!$J$4:$J$3333,"=4"),COUNTIFS(Database!$F$4:$F$3333,"="&amp;$I$5,Database!$B$4:$B$3333,"="&amp;$I$4,Database!$J$4:$J$3333,"=4"))</f>
        <v>0</v>
      </c>
      <c r="F12" s="9">
        <f t="shared" si="0"/>
        <v>0</v>
      </c>
      <c r="G12" s="10" t="e">
        <f t="shared" si="10"/>
        <v>#DIV/0!</v>
      </c>
      <c r="H12" s="23">
        <f>IF($I$5="ALL",COUNTIFS(Database!$AC$4:$AC$3333,"="&amp;$I$4,Database!$AK$4:$AK$3333,"=1"),COUNTIFS(Database!$AG$4:$AG$3333,"="&amp;$I$5,Database!$AC$4:$AC$3333,"="&amp;$I$4,Database!$AK$4:$AK$3333,"=1"))</f>
        <v>0</v>
      </c>
      <c r="I12" s="23">
        <f>IF($I$5="ALL",COUNTIFS(Database!$AC$4:$AC$3333,"="&amp;$I$4,Database!$AK$4:$AK$3333,"=2"),COUNTIFS(Database!$AG$4:$AG$3333,"="&amp;$I$5,Database!$AC$4:$AC$3333,"="&amp;$I$4,Database!$AK$4:$AK$3333,"=2"))</f>
        <v>0</v>
      </c>
      <c r="J12" s="23">
        <f>IF($I$5="ALL",COUNTIFS(Database!$AC$4:$AC$3333,"="&amp;$I$4,Database!$AK$4:$AK$3333,"=3"),COUNTIFS(Database!$AG$4:$AG$3333,"="&amp;$I$5,Database!$AC$4:$AC$3333,"="&amp;$I$4,Database!$AK$4:$AK$3333,"=3"))</f>
        <v>0</v>
      </c>
      <c r="K12" s="23">
        <f>IF($I$5="ALL",COUNTIFS(Database!$AC$4:$AC$3333,"="&amp;$I$4,Database!$AK$4:$AK$3333,"=4"),COUNTIFS(Database!$AG$4:$AG$3333,"="&amp;$I$5,Database!$AC$4:$AC$3333,"="&amp;$I$4,Database!$AK$4:$AK$3333,"=4"))</f>
        <v>0</v>
      </c>
      <c r="L12" s="9">
        <f t="shared" si="1"/>
        <v>0</v>
      </c>
      <c r="M12" s="10" t="e">
        <f t="shared" si="2"/>
        <v>#DIV/0!</v>
      </c>
      <c r="N12" s="10" t="e">
        <f t="shared" si="3"/>
        <v>#DIV/0!</v>
      </c>
      <c r="O12" s="32" t="e">
        <f t="shared" si="4"/>
        <v>#DIV/0!</v>
      </c>
      <c r="P12" s="11" t="s">
        <v>1</v>
      </c>
      <c r="Q12" s="32" t="e">
        <f t="shared" si="5"/>
        <v>#DIV/0!</v>
      </c>
      <c r="R12" s="6" t="e">
        <f t="shared" si="6"/>
        <v>#DIV/0!</v>
      </c>
      <c r="S12" s="6" t="e">
        <f t="shared" si="7"/>
        <v>#DIV/0!</v>
      </c>
      <c r="T12" s="82" t="e">
        <f t="shared" si="8"/>
        <v>#DIV/0!</v>
      </c>
      <c r="U12" s="82" t="e">
        <f t="shared" si="9"/>
        <v>#DIV/0!</v>
      </c>
      <c r="V12" s="257"/>
    </row>
    <row r="13" spans="1:22" ht="18" x14ac:dyDescent="0.35">
      <c r="A13" s="9" t="s">
        <v>18</v>
      </c>
      <c r="B13" s="23">
        <f>IF($I$5="ALL",COUNTIFS(Database!$B$4:$B$3333,"="&amp;$I$4,Database!$K$4:$K$3333,"=1"),COUNTIFS(Database!$F$4:$F$3333,"="&amp;$I$5,Database!$B$4:$B$3333,"="&amp;$I$4,Database!$K$4:$K$3333,"=1"))</f>
        <v>0</v>
      </c>
      <c r="C13" s="23">
        <f>IF($I$5="ALL",COUNTIFS(Database!$B$4:$B$3333,"="&amp;$I$4,Database!$K$4:$K$3333,"=2"),COUNTIFS(Database!$F$4:$F$3333,"="&amp;$I$5,Database!$B$4:$B$3333,"="&amp;$I$4,Database!$K$4:$K$3333,"=2"))</f>
        <v>0</v>
      </c>
      <c r="D13" s="23">
        <f>IF($I$5="ALL",COUNTIFS(Database!$B$4:$B$3333,"="&amp;$I$4,Database!$K$4:$K$3333,"=3"),COUNTIFS(Database!$F$4:$F$3333,"="&amp;$I$5,Database!$B$4:$B$3333,"="&amp;$I$4,Database!$K$4:$K$3333,"=3"))</f>
        <v>0</v>
      </c>
      <c r="E13" s="23">
        <f>IF($I$5="ALL",COUNTIFS(Database!$B$4:$B$3333,"="&amp;$I$4,Database!$K$4:$K$3333,"=4"),COUNTIFS(Database!$F$4:$F$3333,"="&amp;$I$5,Database!$B$4:$B$3333,"="&amp;$I$4,Database!$K$4:$K$3333,"=4"))</f>
        <v>0</v>
      </c>
      <c r="F13" s="9">
        <f t="shared" si="0"/>
        <v>0</v>
      </c>
      <c r="G13" s="10" t="e">
        <f t="shared" si="10"/>
        <v>#DIV/0!</v>
      </c>
      <c r="H13" s="23">
        <f>IF($I$5="ALL",COUNTIFS(Database!$AC$4:$AC$3333,"="&amp;$I$4,Database!$AL$4:$AL$3333,"=1"),COUNTIFS(Database!$AG$4:$AG$3333,"="&amp;$I$5,Database!$AC$4:$AC$3333,"="&amp;$I$4,Database!$AL$4:$AL$3333,"=1"))</f>
        <v>0</v>
      </c>
      <c r="I13" s="23">
        <f>IF($I$5="ALL",COUNTIFS(Database!$AC$4:$AC$3333,"="&amp;$I$4,Database!$AL$4:$AL$3333,"=2"),COUNTIFS(Database!$AG$4:$AG$3333,"="&amp;$I$5,Database!$AC$4:$AC$3333,"="&amp;$I$4,Database!$AL$4:$AL$3333,"=2"))</f>
        <v>0</v>
      </c>
      <c r="J13" s="23">
        <f>IF($I$5="ALL",COUNTIFS(Database!$AC$4:$AC$3333,"="&amp;$I$4,Database!$AL$4:$AL$3333,"=3"),COUNTIFS(Database!$AG$4:$AG$3333,"="&amp;$I$5,Database!$AC$4:$AC$3333,"="&amp;$I$4,Database!$AL$4:$AL$3333,"=3"))</f>
        <v>0</v>
      </c>
      <c r="K13" s="23">
        <f>IF($I$5="ALL",COUNTIFS(Database!$AC$4:$AC$3333,"="&amp;$I$4,Database!$AL$4:$AL$3333,"=4"),COUNTIFS(Database!$AG$4:$AG$3333,"="&amp;$I$5,Database!$AC$4:$AC$3333,"="&amp;$I$4,Database!$AL$4:$AL$3333,"=4"))</f>
        <v>0</v>
      </c>
      <c r="L13" s="9">
        <f t="shared" si="1"/>
        <v>0</v>
      </c>
      <c r="M13" s="10" t="e">
        <f t="shared" si="2"/>
        <v>#DIV/0!</v>
      </c>
      <c r="N13" s="10" t="e">
        <f t="shared" si="3"/>
        <v>#DIV/0!</v>
      </c>
      <c r="O13" s="32" t="e">
        <f t="shared" si="4"/>
        <v>#DIV/0!</v>
      </c>
      <c r="P13" s="33" t="s">
        <v>2</v>
      </c>
      <c r="Q13" s="32" t="e">
        <f>RANK(N13,$N$13:$N$14,0)</f>
        <v>#DIV/0!</v>
      </c>
      <c r="R13" s="6" t="e">
        <f t="shared" si="6"/>
        <v>#DIV/0!</v>
      </c>
      <c r="S13" s="6" t="e">
        <f t="shared" si="7"/>
        <v>#DIV/0!</v>
      </c>
      <c r="T13" s="6" t="e">
        <f>RANK(G13,$G$13:$G$14)</f>
        <v>#DIV/0!</v>
      </c>
      <c r="U13" s="6" t="e">
        <f>RANK(M13,$M$13:$M$14)</f>
        <v>#DIV/0!</v>
      </c>
      <c r="V13" s="256" t="s">
        <v>182</v>
      </c>
    </row>
    <row r="14" spans="1:22" ht="18" x14ac:dyDescent="0.35">
      <c r="A14" s="9" t="s">
        <v>19</v>
      </c>
      <c r="B14" s="23">
        <f>IF($I$5="ALL",COUNTIFS(Database!$B$4:$B$3333,"="&amp;$I$4,Database!$L$4:$L$3333,"=1"),COUNTIFS(Database!$F$4:$F$3333,"="&amp;$I$5,Database!$B$4:$B$3333,"="&amp;$I$4,Database!$L$4:$L$3333,"=1"))</f>
        <v>0</v>
      </c>
      <c r="C14" s="23">
        <f>IF($I$5="ALL",COUNTIFS(Database!$B$4:$B$3333,"="&amp;$I$4,Database!$L$4:$L$3333,"=2"),COUNTIFS(Database!$F$4:$F$3333,"="&amp;$I$5,Database!$B$4:$B$3333,"="&amp;$I$4,Database!$L$4:$L$3333,"=2"))</f>
        <v>0</v>
      </c>
      <c r="D14" s="23">
        <f>IF($I$5="ALL",COUNTIFS(Database!$B$4:$B$3333,"="&amp;$I$4,Database!$L$4:$L$3333,"=3"),COUNTIFS(Database!$F$4:$F$3333,"="&amp;$I$5,Database!$B$4:$B$3333,"="&amp;$I$4,Database!$L$4:$L$3333,"=3"))</f>
        <v>0</v>
      </c>
      <c r="E14" s="23">
        <f>IF($I$5="ALL",COUNTIFS(Database!$B$4:$B$3333,"="&amp;$I$4,Database!$L$4:$L$3333,"=4"),COUNTIFS(Database!$F$4:$F$3333,"="&amp;$I$5,Database!$B$4:$B$3333,"="&amp;$I$4,Database!$L$4:$L$3333,"=4"))</f>
        <v>0</v>
      </c>
      <c r="F14" s="9">
        <f t="shared" si="0"/>
        <v>0</v>
      </c>
      <c r="G14" s="10" t="e">
        <f t="shared" si="10"/>
        <v>#DIV/0!</v>
      </c>
      <c r="H14" s="23">
        <f>IF($I$5="ALL",COUNTIFS(Database!$AC$4:$AC$3333,"="&amp;$I$4,Database!$AM$4:$AM$3333,"=1"),COUNTIFS(Database!$AG$4:$AG$3333,"="&amp;$I$5,Database!$AC$4:$AC$3333,"="&amp;$I$4,Database!$AM$4:$AM$3333,"=1"))</f>
        <v>0</v>
      </c>
      <c r="I14" s="23">
        <f>IF($I$5="ALL",COUNTIFS(Database!$AC$4:$AC$3333,"="&amp;$I$4,Database!$AM$4:$AM$3333,"=2"),COUNTIFS(Database!$AG$4:$AG$3333,"="&amp;$I$5,Database!$AC$4:$AC$3333,"="&amp;$I$4,Database!$AM$4:$AM$3333,"=2"))</f>
        <v>0</v>
      </c>
      <c r="J14" s="23">
        <f>IF($I$5="ALL",COUNTIFS(Database!$AC$4:$AC$3333,"="&amp;$I$4,Database!$AM$4:$AM$3333,"=3"),COUNTIFS(Database!$AG$4:$AG$3333,"="&amp;$I$5,Database!$AC$4:$AC$3333,"="&amp;$I$4,Database!$AM$4:$AM$3333,"=3"))</f>
        <v>0</v>
      </c>
      <c r="K14" s="23">
        <f>IF($I$5="ALL",COUNTIFS(Database!$AC$4:$AC$3333,"="&amp;$I$4,Database!$AM$4:$AM$3333,"=4"),COUNTIFS(Database!$AG$4:$AG$3333,"="&amp;$I$5,Database!$AC$4:$AC$3333,"="&amp;$I$4,Database!$AM$4:$AM$3333,"=4"))</f>
        <v>0</v>
      </c>
      <c r="L14" s="9">
        <f t="shared" si="1"/>
        <v>0</v>
      </c>
      <c r="M14" s="10" t="e">
        <f t="shared" si="2"/>
        <v>#DIV/0!</v>
      </c>
      <c r="N14" s="10" t="e">
        <f t="shared" si="3"/>
        <v>#DIV/0!</v>
      </c>
      <c r="O14" s="32" t="e">
        <f t="shared" si="4"/>
        <v>#DIV/0!</v>
      </c>
      <c r="P14" s="34" t="s">
        <v>54</v>
      </c>
      <c r="Q14" s="32" t="e">
        <f>RANK(N14,$N$13:$N$14,0)</f>
        <v>#DIV/0!</v>
      </c>
      <c r="R14" s="6" t="e">
        <f t="shared" si="6"/>
        <v>#DIV/0!</v>
      </c>
      <c r="S14" s="6" t="e">
        <f t="shared" si="7"/>
        <v>#DIV/0!</v>
      </c>
      <c r="T14" s="6" t="e">
        <f>RANK(G14,$G$13:$G$14)</f>
        <v>#DIV/0!</v>
      </c>
      <c r="U14" s="6" t="e">
        <f>RANK(M14,$M$13:$M$14)</f>
        <v>#DIV/0!</v>
      </c>
      <c r="V14" s="256"/>
    </row>
    <row r="15" spans="1:22" ht="18" x14ac:dyDescent="0.35">
      <c r="A15" s="9" t="s">
        <v>20</v>
      </c>
      <c r="B15" s="23">
        <f>IF($I$5="ALL",COUNTIFS(Database!$B$4:$B$3333,"="&amp;$I$4,Database!$M$4:$M$3333,"=1"),COUNTIFS(Database!$F$4:$F$3333,"="&amp;$I$5,Database!$B$4:$B$3333,"="&amp;$I$4,Database!$M$4:$M$3333,"=1"))</f>
        <v>0</v>
      </c>
      <c r="C15" s="23">
        <f>IF($I$5="ALL",COUNTIFS(Database!$B$4:$B$3333,"="&amp;$I$4,Database!$M$4:$M$3333,"=2"),COUNTIFS(Database!$F$4:$F$3333,"="&amp;$I$5,Database!$B$4:$B$3333,"="&amp;$I$4,Database!$M$4:$M$3333,"=2"))</f>
        <v>0</v>
      </c>
      <c r="D15" s="23">
        <f>IF($I$5="ALL",COUNTIFS(Database!$B$4:$B$3333,"="&amp;$I$4,Database!$M$4:$M$3333,"=3"),COUNTIFS(Database!$F$4:$F$3333,"="&amp;$I$5,Database!$B$4:$B$3333,"="&amp;$I$4,Database!$M$4:$M$3333,"=3"))</f>
        <v>0</v>
      </c>
      <c r="E15" s="23">
        <f>IF($I$5="ALL",COUNTIFS(Database!$B$4:$B$3333,"="&amp;$I$4,Database!$M$4:$M$3333,"=4"),COUNTIFS(Database!$F$4:$F$3333,"="&amp;$I$5,Database!$B$4:$B$3333,"="&amp;$I$4,Database!$M$4:$M$3333,"=4"))</f>
        <v>0</v>
      </c>
      <c r="F15" s="9">
        <f t="shared" si="0"/>
        <v>0</v>
      </c>
      <c r="G15" s="10" t="e">
        <f t="shared" si="10"/>
        <v>#DIV/0!</v>
      </c>
      <c r="H15" s="23">
        <f>IF($I$5="ALL",COUNTIFS(Database!$AC$4:$AC$3333,"="&amp;$I$4,Database!$AN$4:$AN$3333,"=1"),COUNTIFS(Database!$AG$4:$AG$3333,"="&amp;$I$5,Database!$AC$4:$AC$3333,"="&amp;$I$4,Database!$AN$4:$AN$3333,"=1"))</f>
        <v>0</v>
      </c>
      <c r="I15" s="23">
        <f>IF($I$5="ALL",COUNTIFS(Database!$AC$4:$AC$3333,"="&amp;$I$4,Database!$AN$4:$AN$3333,"=2"),COUNTIFS(Database!$AG$4:$AG$3333,"="&amp;$I$5,Database!$AC$4:$AC$3333,"="&amp;$I$4,Database!$AN$4:$AN$3333,"=2"))</f>
        <v>0</v>
      </c>
      <c r="J15" s="23">
        <f>IF($I$5="ALL",COUNTIFS(Database!$AC$4:$AC$3333,"="&amp;$I$4,Database!$AN$4:$AN$3333,"=3"),COUNTIFS(Database!$AG$4:$AG$3333,"="&amp;$I$5,Database!$AC$4:$AC$3333,"="&amp;$I$4,Database!$AN$4:$AN$3333,"=3"))</f>
        <v>0</v>
      </c>
      <c r="K15" s="23">
        <f>IF($I$5="ALL",COUNTIFS(Database!$AC$4:$AC$3333,"="&amp;$I$4,Database!$AN$4:$AN$3333,"=4"),COUNTIFS(Database!$AG$4:$AG$3333,"="&amp;$I$5,Database!$AC$4:$AC$3333,"="&amp;$I$4,Database!$AN$4:$AN$3333,"=4"))</f>
        <v>0</v>
      </c>
      <c r="L15" s="9">
        <f t="shared" si="1"/>
        <v>0</v>
      </c>
      <c r="M15" s="10" t="e">
        <f t="shared" si="2"/>
        <v>#DIV/0!</v>
      </c>
      <c r="N15" s="10" t="e">
        <f t="shared" si="3"/>
        <v>#DIV/0!</v>
      </c>
      <c r="O15" s="32" t="e">
        <f t="shared" si="4"/>
        <v>#DIV/0!</v>
      </c>
      <c r="P15" s="12" t="s">
        <v>3</v>
      </c>
      <c r="Q15" s="32" t="e">
        <f>RANK(N15,$N$15:$N$19,0)</f>
        <v>#DIV/0!</v>
      </c>
      <c r="R15" s="6" t="e">
        <f t="shared" si="6"/>
        <v>#DIV/0!</v>
      </c>
      <c r="S15" s="6" t="e">
        <f t="shared" si="7"/>
        <v>#DIV/0!</v>
      </c>
      <c r="T15" s="6" t="e">
        <f>RANK(G15,$G$15:$G$19)</f>
        <v>#DIV/0!</v>
      </c>
      <c r="U15" s="6" t="e">
        <f>RANK(M15,$M$15:$M$19)</f>
        <v>#DIV/0!</v>
      </c>
      <c r="V15" s="255" t="s">
        <v>183</v>
      </c>
    </row>
    <row r="16" spans="1:22" ht="18" x14ac:dyDescent="0.35">
      <c r="A16" s="9" t="s">
        <v>21</v>
      </c>
      <c r="B16" s="23">
        <f>IF($I$5="ALL",COUNTIFS(Database!$B$4:$B$3333,"="&amp;$I$4,Database!$N$4:$N$3333,"=1"),COUNTIFS(Database!$F$4:$F$3333,"="&amp;$I$5,Database!$B$4:$B$3333,"="&amp;$I$4,Database!$N$4:$N$3333,"=1"))</f>
        <v>0</v>
      </c>
      <c r="C16" s="23">
        <f>IF($I$5="ALL",COUNTIFS(Database!$B$4:$B$3333,"="&amp;$I$4,Database!$N$4:$N$3333,"=2"),COUNTIFS(Database!$F$4:$F$3333,"="&amp;$I$5,Database!$B$4:$B$3333,"="&amp;$I$4,Database!$N$4:$N$3333,"=2"))</f>
        <v>0</v>
      </c>
      <c r="D16" s="23">
        <f>IF($I$5="ALL",COUNTIFS(Database!$B$4:$B$3333,"="&amp;$I$4,Database!$N$4:$N$3333,"=3"),COUNTIFS(Database!$F$4:$F$3333,"="&amp;$I$5,Database!$B$4:$B$3333,"="&amp;$I$4,Database!$N$4:$N$3333,"=3"))</f>
        <v>0</v>
      </c>
      <c r="E16" s="23">
        <f>IF($I$5="ALL",COUNTIFS(Database!$B$4:$B$3333,"="&amp;$I$4,Database!$N$4:$N$3333,"=4"),COUNTIFS(Database!$F$4:$F$3333,"="&amp;$I$5,Database!$B$4:$B$3333,"="&amp;$I$4,Database!$N$4:$N$3333,"=4"))</f>
        <v>0</v>
      </c>
      <c r="F16" s="9">
        <f t="shared" si="0"/>
        <v>0</v>
      </c>
      <c r="G16" s="10" t="e">
        <f t="shared" si="10"/>
        <v>#DIV/0!</v>
      </c>
      <c r="H16" s="23">
        <f>IF($I$5="ALL",COUNTIFS(Database!$AC$4:$AC$3333,"="&amp;$I$4,Database!$AO$4:$AO$3333,"=1"),COUNTIFS(Database!$AG$4:$AG$3333,"="&amp;$I$5,Database!$AC$4:$AC$3333,"="&amp;$I$4,Database!$AO$4:$AO$3333,"=1"))</f>
        <v>0</v>
      </c>
      <c r="I16" s="23">
        <f>IF($I$5="ALL",COUNTIFS(Database!$AC$4:$AC$3333,"="&amp;$I$4,Database!$AO$4:$AO$3333,"=2"),COUNTIFS(Database!$AG$4:$AG$3333,"="&amp;$I$5,Database!$AC$4:$AC$3333,"="&amp;$I$4,Database!$AO$4:$AO$3333,"=2"))</f>
        <v>0</v>
      </c>
      <c r="J16" s="23">
        <f>IF($I$5="ALL",COUNTIFS(Database!$AC$4:$AC$3333,"="&amp;$I$4,Database!$AO$4:$AO$3333,"=3"),COUNTIFS(Database!$AG$4:$AG$3333,"="&amp;$I$5,Database!$AC$4:$AC$3333,"="&amp;$I$4,Database!$AO$4:$AO$3333,"=3"))</f>
        <v>0</v>
      </c>
      <c r="K16" s="23">
        <f>IF($I$5="ALL",COUNTIFS(Database!$AC$4:$AC$3333,"="&amp;$I$4,Database!$AO$4:$AO$3333,"=4"),COUNTIFS(Database!$AG$4:$AG$3333,"="&amp;$I$5,Database!$AC$4:$AC$3333,"="&amp;$I$4,Database!$AO$4:$AO$3333,"=4"))</f>
        <v>0</v>
      </c>
      <c r="L16" s="9">
        <f t="shared" si="1"/>
        <v>0</v>
      </c>
      <c r="M16" s="10" t="e">
        <f t="shared" si="2"/>
        <v>#DIV/0!</v>
      </c>
      <c r="N16" s="10" t="e">
        <f t="shared" si="3"/>
        <v>#DIV/0!</v>
      </c>
      <c r="O16" s="32" t="e">
        <f t="shared" si="4"/>
        <v>#DIV/0!</v>
      </c>
      <c r="P16" s="12" t="s">
        <v>4</v>
      </c>
      <c r="Q16" s="32" t="e">
        <f t="shared" ref="Q16:Q19" si="11">RANK(N16,$N$15:$N$19,0)</f>
        <v>#DIV/0!</v>
      </c>
      <c r="R16" s="6" t="e">
        <f t="shared" si="6"/>
        <v>#DIV/0!</v>
      </c>
      <c r="S16" s="6" t="e">
        <f t="shared" si="7"/>
        <v>#DIV/0!</v>
      </c>
      <c r="T16" s="6" t="e">
        <f t="shared" ref="T16:T19" si="12">RANK(G16,$G$15:$G$19)</f>
        <v>#DIV/0!</v>
      </c>
      <c r="U16" s="6" t="e">
        <f t="shared" ref="U16:U19" si="13">RANK(M16,$M$15:$M$19)</f>
        <v>#DIV/0!</v>
      </c>
      <c r="V16" s="255"/>
    </row>
    <row r="17" spans="1:22" ht="18" x14ac:dyDescent="0.35">
      <c r="A17" s="9" t="s">
        <v>22</v>
      </c>
      <c r="B17" s="23">
        <f>IF($I$5="ALL",COUNTIFS(Database!$B$4:$B$3333,"="&amp;$I$4,Database!$O$4:$O$3333,"=1"),COUNTIFS(Database!$F$4:$F$3333,"="&amp;$I$5,Database!$B$4:$B$3333,"="&amp;$I$4,Database!$O$4:$O$3333,"=1"))</f>
        <v>0</v>
      </c>
      <c r="C17" s="23">
        <f>IF($I$5="ALL",COUNTIFS(Database!$B$4:$B$3333,"="&amp;$I$4,Database!$O$4:$O$3333,"=2"),COUNTIFS(Database!$F$4:$F$3333,"="&amp;$I$5,Database!$B$4:$B$3333,"="&amp;$I$4,Database!$O$4:$O$3333,"=2"))</f>
        <v>0</v>
      </c>
      <c r="D17" s="23">
        <f>IF($I$5="ALL",COUNTIFS(Database!$B$4:$B$3333,"="&amp;$I$4,Database!$O$4:$O$3333,"=3"),COUNTIFS(Database!$F$4:$F$3333,"="&amp;$I$5,Database!$B$4:$B$3333,"="&amp;$I$4,Database!$O$4:$O$3333,"=3"))</f>
        <v>0</v>
      </c>
      <c r="E17" s="23">
        <f>IF($I$5="ALL",COUNTIFS(Database!$B$4:$B$3333,"="&amp;$I$4,Database!$O$4:$O$3333,"=4"),COUNTIFS(Database!$F$4:$F$3333,"="&amp;$I$5,Database!$B$4:$B$3333,"="&amp;$I$4,Database!$O$4:$O$3333,"=4"))</f>
        <v>0</v>
      </c>
      <c r="F17" s="9">
        <f t="shared" si="0"/>
        <v>0</v>
      </c>
      <c r="G17" s="10" t="e">
        <f t="shared" si="10"/>
        <v>#DIV/0!</v>
      </c>
      <c r="H17" s="23">
        <f>IF($I$5="ALL",COUNTIFS(Database!$AC$4:$AC$3333,"="&amp;$I$4,Database!$AP$4:$AP$3333,"=1"),COUNTIFS(Database!$AG$4:$AG$3333,"="&amp;$I$5,Database!$AC$4:$AC$3333,"="&amp;$I$4,Database!$AP$4:$AP$3333,"=1"))</f>
        <v>0</v>
      </c>
      <c r="I17" s="23">
        <f>IF($I$5="ALL",COUNTIFS(Database!$AC$4:$AC$3333,"="&amp;$I$4,Database!$AP$4:$AP$3333,"=2"),COUNTIFS(Database!$AG$4:$AG$3333,"="&amp;$I$5,Database!$AC$4:$AC$3333,"="&amp;$I$4,Database!$AP$4:$AP$3333,"=2"))</f>
        <v>0</v>
      </c>
      <c r="J17" s="23">
        <f>IF($I$5="ALL",COUNTIFS(Database!$AC$4:$AC$3333,"="&amp;$I$4,Database!$AP$4:$AP$3333,"=3"),COUNTIFS(Database!$AG$4:$AG$3333,"="&amp;$I$5,Database!$AC$4:$AC$3333,"="&amp;$I$4,Database!$AP$4:$AP$3333,"=3"))</f>
        <v>0</v>
      </c>
      <c r="K17" s="23">
        <f>IF($I$5="ALL",COUNTIFS(Database!$AC$4:$AC$3333,"="&amp;$I$4,Database!$AP$4:$AP$3333,"=4"),COUNTIFS(Database!$AG$4:$AG$3333,"="&amp;$I$5,Database!$AC$4:$AC$3333,"="&amp;$I$4,Database!$AP$4:$AP$3333,"=4"))</f>
        <v>0</v>
      </c>
      <c r="L17" s="9">
        <f t="shared" si="1"/>
        <v>0</v>
      </c>
      <c r="M17" s="10" t="e">
        <f t="shared" si="2"/>
        <v>#DIV/0!</v>
      </c>
      <c r="N17" s="10" t="e">
        <f t="shared" si="3"/>
        <v>#DIV/0!</v>
      </c>
      <c r="O17" s="32" t="e">
        <f t="shared" si="4"/>
        <v>#DIV/0!</v>
      </c>
      <c r="P17" s="11" t="s">
        <v>5</v>
      </c>
      <c r="Q17" s="32" t="e">
        <f t="shared" si="11"/>
        <v>#DIV/0!</v>
      </c>
      <c r="R17" s="6" t="e">
        <f t="shared" si="6"/>
        <v>#DIV/0!</v>
      </c>
      <c r="S17" s="6" t="e">
        <f t="shared" si="7"/>
        <v>#DIV/0!</v>
      </c>
      <c r="T17" s="6" t="e">
        <f t="shared" si="12"/>
        <v>#DIV/0!</v>
      </c>
      <c r="U17" s="6" t="e">
        <f t="shared" si="13"/>
        <v>#DIV/0!</v>
      </c>
      <c r="V17" s="255"/>
    </row>
    <row r="18" spans="1:22" ht="18" x14ac:dyDescent="0.35">
      <c r="A18" s="9" t="s">
        <v>23</v>
      </c>
      <c r="B18" s="23">
        <f>IF($I$5="ALL",COUNTIFS(Database!$B$4:$B$3333,"="&amp;$I$4,Database!$P$4:$P$3333,"=1"),COUNTIFS(Database!$F$4:$F$3333,"="&amp;$I$5,Database!$B$4:$B$3333,"="&amp;$I$4,Database!$P$4:$P$3333,"=1"))</f>
        <v>0</v>
      </c>
      <c r="C18" s="23">
        <f>IF($I$5="ALL",COUNTIFS(Database!$B$4:$B$3333,"="&amp;$I$4,Database!$P$4:$P$3333,"=2"),COUNTIFS(Database!$F$4:$F$3333,"="&amp;$I$5,Database!$B$4:$B$3333,"="&amp;$I$4,Database!$P$4:$P$3333,"=2"))</f>
        <v>0</v>
      </c>
      <c r="D18" s="23">
        <f>IF($I$5="ALL",COUNTIFS(Database!$B$4:$B$3333,"="&amp;$I$4,Database!$P$4:$P$3333,"=3"),COUNTIFS(Database!$F$4:$F$3333,"="&amp;$I$5,Database!$B$4:$B$3333,"="&amp;$I$4,Database!$P$4:$P$3333,"=3"))</f>
        <v>0</v>
      </c>
      <c r="E18" s="23">
        <f>IF($I$5="ALL",COUNTIFS(Database!$B$4:$B$3333,"="&amp;$I$4,Database!$P$4:$P$3333,"=4"),COUNTIFS(Database!$F$4:$F$3333,"="&amp;$I$5,Database!$B$4:$B$3333,"="&amp;$I$4,Database!$P$4:$P$3333,"=4"))</f>
        <v>0</v>
      </c>
      <c r="F18" s="9">
        <f t="shared" si="0"/>
        <v>0</v>
      </c>
      <c r="G18" s="10" t="e">
        <f t="shared" si="10"/>
        <v>#DIV/0!</v>
      </c>
      <c r="H18" s="23">
        <f>IF($I$5="ALL",COUNTIFS(Database!$AC$4:$AC$3333,"="&amp;$I$4,Database!$AQ$4:$AQ$3333,"=1"),COUNTIFS(Database!$AG$4:$AG$3333,"="&amp;$I$5,Database!$AC$4:$AC$3333,"="&amp;$I$4,Database!$AQ$4:$AQ$3333,"=1"))</f>
        <v>0</v>
      </c>
      <c r="I18" s="23">
        <f>IF($I$5="ALL",COUNTIFS(Database!$AC$4:$AC$3333,"="&amp;$I$4,Database!$AQ$4:$AQ$3333,"=2"),COUNTIFS(Database!$AG$4:$AG$3333,"="&amp;$I$5,Database!$AC$4:$AC$3333,"="&amp;$I$4,Database!$AQ$4:$AQ$3333,"=2"))</f>
        <v>0</v>
      </c>
      <c r="J18" s="23">
        <f>IF($I$5="ALL",COUNTIFS(Database!$AC$4:$AC$3333,"="&amp;$I$4,Database!$AQ$4:$AQ$3333,"=3"),COUNTIFS(Database!$AG$4:$AG$3333,"="&amp;$I$5,Database!$AC$4:$AC$3333,"="&amp;$I$4,Database!$AQ$4:$AQ$3333,"=3"))</f>
        <v>0</v>
      </c>
      <c r="K18" s="23">
        <f>IF($I$5="ALL",COUNTIFS(Database!$AC$4:$AC$3333,"="&amp;$I$4,Database!$AQ$4:$AQ$3333,"=4"),COUNTIFS(Database!$AG$4:$AG$3333,"="&amp;$I$5,Database!$AC$4:$AC$3333,"="&amp;$I$4,Database!$AQ$4:$AQ$3333,"=4"))</f>
        <v>0</v>
      </c>
      <c r="L18" s="9">
        <f t="shared" si="1"/>
        <v>0</v>
      </c>
      <c r="M18" s="10" t="e">
        <f t="shared" si="2"/>
        <v>#DIV/0!</v>
      </c>
      <c r="N18" s="10" t="e">
        <f t="shared" si="3"/>
        <v>#DIV/0!</v>
      </c>
      <c r="O18" s="32" t="e">
        <f t="shared" si="4"/>
        <v>#DIV/0!</v>
      </c>
      <c r="P18" s="11" t="s">
        <v>55</v>
      </c>
      <c r="Q18" s="32" t="e">
        <f t="shared" si="11"/>
        <v>#DIV/0!</v>
      </c>
      <c r="R18" s="6" t="e">
        <f t="shared" si="6"/>
        <v>#DIV/0!</v>
      </c>
      <c r="S18" s="6" t="e">
        <f t="shared" si="7"/>
        <v>#DIV/0!</v>
      </c>
      <c r="T18" s="6" t="e">
        <f t="shared" si="12"/>
        <v>#DIV/0!</v>
      </c>
      <c r="U18" s="6" t="e">
        <f t="shared" si="13"/>
        <v>#DIV/0!</v>
      </c>
      <c r="V18" s="255"/>
    </row>
    <row r="19" spans="1:22" ht="18" x14ac:dyDescent="0.35">
      <c r="A19" s="9" t="s">
        <v>24</v>
      </c>
      <c r="B19" s="23">
        <f>IF($I$5="ALL",COUNTIFS(Database!$B$4:$B$3333,"="&amp;$I$4,Database!$Q$4:$Q$3333,"=1"),COUNTIFS(Database!$F$4:$F$3333,"="&amp;$I$5,Database!$B$4:$B$3333,"="&amp;$I$4,Database!$Q$4:$Q$3333,"=1"))</f>
        <v>0</v>
      </c>
      <c r="C19" s="23">
        <f>IF($I$5="ALL",COUNTIFS(Database!$B$4:$B$3333,"="&amp;$I$4,Database!$Q$4:$Q$3333,"=2"),COUNTIFS(Database!$F$4:$F$3333,"="&amp;$I$5,Database!$B$4:$B$3333,"="&amp;$I$4,Database!$Q$4:$Q$3333,"=2"))</f>
        <v>0</v>
      </c>
      <c r="D19" s="23">
        <f>IF($I$5="ALL",COUNTIFS(Database!$B$4:$B$3333,"="&amp;$I$4,Database!$Q$4:$Q$3333,"=3"),COUNTIFS(Database!$F$4:$F$3333,"="&amp;$I$5,Database!$B$4:$B$3333,"="&amp;$I$4,Database!$Q$4:$Q$3333,"=3"))</f>
        <v>0</v>
      </c>
      <c r="E19" s="23">
        <f>IF($I$5="ALL",COUNTIFS(Database!$B$4:$B$3333,"="&amp;$I$4,Database!$Q$4:$Q$3333,"=4"),COUNTIFS(Database!$F$4:$F$3333,"="&amp;$I$5,Database!$B$4:$B$3333,"="&amp;$I$4,Database!$Q$4:$Q$3333,"=4"))</f>
        <v>0</v>
      </c>
      <c r="F19" s="9">
        <f t="shared" si="0"/>
        <v>0</v>
      </c>
      <c r="G19" s="10" t="e">
        <f t="shared" si="10"/>
        <v>#DIV/0!</v>
      </c>
      <c r="H19" s="23">
        <f>IF($I$5="ALL",COUNTIFS(Database!$AC$4:$AC$3333,"="&amp;$I$4,Database!$AR$4:$AR$3333,"=1"),COUNTIFS(Database!$AG$4:$AG$3333,"="&amp;$I$5,Database!$AC$4:$AC$3333,"="&amp;$I$4,Database!$AR$4:$AR$3333,"=1"))</f>
        <v>0</v>
      </c>
      <c r="I19" s="23">
        <f>IF($I$5="ALL",COUNTIFS(Database!$AC$4:$AC$3333,"="&amp;$I$4,Database!$AR$4:$AR$3333,"=2"),COUNTIFS(Database!$AG$4:$AG$3333,"="&amp;$I$5,Database!$AC$4:$AC$3333,"="&amp;$I$4,Database!$AR$4:$AR$3333,"=2"))</f>
        <v>0</v>
      </c>
      <c r="J19" s="23">
        <f>IF($I$5="ALL",COUNTIFS(Database!$AC$4:$AC$3333,"="&amp;$I$4,Database!$AR$4:$AR$3333,"=3"),COUNTIFS(Database!$AG$4:$AG$3333,"="&amp;$I$5,Database!$AC$4:$AC$3333,"="&amp;$I$4,Database!$AR$4:$AR$3333,"=3"))</f>
        <v>0</v>
      </c>
      <c r="K19" s="23">
        <f>IF($I$5="ALL",COUNTIFS(Database!$AC$4:$AC$3333,"="&amp;$I$4,Database!$AR$4:$AR$3333,"=4"),COUNTIFS(Database!$AG$4:$AG$3333,"="&amp;$I$5,Database!$AC$4:$AC$3333,"="&amp;$I$4,Database!$AR$4:$AR$3333,"=4"))</f>
        <v>0</v>
      </c>
      <c r="L19" s="9">
        <f t="shared" si="1"/>
        <v>0</v>
      </c>
      <c r="M19" s="10" t="e">
        <f t="shared" si="2"/>
        <v>#DIV/0!</v>
      </c>
      <c r="N19" s="10" t="e">
        <f t="shared" si="3"/>
        <v>#DIV/0!</v>
      </c>
      <c r="O19" s="32" t="e">
        <f t="shared" si="4"/>
        <v>#DIV/0!</v>
      </c>
      <c r="P19" s="11" t="s">
        <v>56</v>
      </c>
      <c r="Q19" s="32" t="e">
        <f t="shared" si="11"/>
        <v>#DIV/0!</v>
      </c>
      <c r="R19" s="6" t="e">
        <f t="shared" si="6"/>
        <v>#DIV/0!</v>
      </c>
      <c r="S19" s="6" t="e">
        <f t="shared" si="7"/>
        <v>#DIV/0!</v>
      </c>
      <c r="T19" s="6" t="e">
        <f t="shared" si="12"/>
        <v>#DIV/0!</v>
      </c>
      <c r="U19" s="6" t="e">
        <f t="shared" si="13"/>
        <v>#DIV/0!</v>
      </c>
      <c r="V19" s="255"/>
    </row>
    <row r="20" spans="1:22" ht="18" x14ac:dyDescent="0.35">
      <c r="A20" s="9" t="s">
        <v>25</v>
      </c>
      <c r="B20" s="23">
        <f>IF($I$5="ALL",COUNTIFS(Database!$B$4:$B$3333,"="&amp;$I$4,Database!$R$4:$R$3333,"=1"),COUNTIFS(Database!$F$4:$F$3333,"="&amp;$I$5,Database!$B$4:$B$3333,"="&amp;$I$4,Database!$R$4:$R$3333,"=1"))</f>
        <v>0</v>
      </c>
      <c r="C20" s="23">
        <f>IF($I$5="ALL",COUNTIFS(Database!$B$4:$B$3333,"="&amp;$I$4,Database!$R$4:$R$3333,"=2"),COUNTIFS(Database!$F$4:$F$3333,"="&amp;$I$5,Database!$B$4:$B$3333,"="&amp;$I$4,Database!$R$4:$R$3333,"=2"))</f>
        <v>0</v>
      </c>
      <c r="D20" s="23">
        <f>IF($I$5="ALL",COUNTIFS(Database!$B$4:$B$3333,"="&amp;$I$4,Database!$R$4:$R$3333,"=3"),COUNTIFS(Database!$F$4:$F$3333,"="&amp;$I$5,Database!$B$4:$B$3333,"="&amp;$I$4,Database!$R$4:$R$3333,"=3"))</f>
        <v>0</v>
      </c>
      <c r="E20" s="23">
        <f>IF($I$5="ALL",COUNTIFS(Database!$B$4:$B$3333,"="&amp;$I$4,Database!$R$4:$R$3333,"=4"),COUNTIFS(Database!$F$4:$F$3333,"="&amp;$I$5,Database!$B$4:$B$3333,"="&amp;$I$4,Database!$R$4:$R$3333,"=4"))</f>
        <v>0</v>
      </c>
      <c r="F20" s="9">
        <f t="shared" si="0"/>
        <v>0</v>
      </c>
      <c r="G20" s="10" t="e">
        <f t="shared" si="10"/>
        <v>#DIV/0!</v>
      </c>
      <c r="H20" s="23">
        <f>IF($I$5="ALL",COUNTIFS(Database!$AC$4:$AC$3333,"="&amp;$I$4,Database!$AS$4:$AS$3333,"=1"),COUNTIFS(Database!$AG$4:$AG$3333,"="&amp;$I$5,Database!$AC$4:$AC$3333,"="&amp;$I$4,Database!$AS$4:$AS$3333,"=1"))</f>
        <v>0</v>
      </c>
      <c r="I20" s="23">
        <f>IF($I$5="ALL",COUNTIFS(Database!$AC$4:$AC$3333,"="&amp;$I$4,Database!$AS$4:$AS$3333,"=2"),COUNTIFS(Database!$AG$4:$AG$3333,"="&amp;$I$5,Database!$AC$4:$AC$3333,"="&amp;$I$4,Database!$AS$4:$AS$3333,"=2"))</f>
        <v>0</v>
      </c>
      <c r="J20" s="23">
        <f>IF($I$5="ALL",COUNTIFS(Database!$AC$4:$AC$3333,"="&amp;$I$4,Database!$AS$4:$AS$3333,"=3"),COUNTIFS(Database!$AG$4:$AG$3333,"="&amp;$I$5,Database!$AC$4:$AC$3333,"="&amp;$I$4,Database!$AS$4:$AS$3333,"=3"))</f>
        <v>0</v>
      </c>
      <c r="K20" s="23">
        <f>IF($I$5="ALL",COUNTIFS(Database!$AC$4:$AC$3333,"="&amp;$I$4,Database!$AS$4:$AS$3333,"=4"),COUNTIFS(Database!$AG$4:$AG$3333,"="&amp;$I$5,Database!$AC$4:$AC$3333,"="&amp;$I$4,Database!$AS$4:$AS$3333,"=4"))</f>
        <v>0</v>
      </c>
      <c r="L20" s="9">
        <f t="shared" si="1"/>
        <v>0</v>
      </c>
      <c r="M20" s="10" t="e">
        <f t="shared" si="2"/>
        <v>#DIV/0!</v>
      </c>
      <c r="N20" s="10" t="e">
        <f t="shared" si="3"/>
        <v>#DIV/0!</v>
      </c>
      <c r="O20" s="32" t="e">
        <f t="shared" si="4"/>
        <v>#DIV/0!</v>
      </c>
      <c r="P20" s="11" t="s">
        <v>57</v>
      </c>
      <c r="Q20" s="32" t="e">
        <f>RANK(N20,$N$20:$N$22,0)</f>
        <v>#DIV/0!</v>
      </c>
      <c r="R20" s="6" t="e">
        <f t="shared" si="6"/>
        <v>#DIV/0!</v>
      </c>
      <c r="S20" s="6" t="e">
        <f t="shared" si="7"/>
        <v>#DIV/0!</v>
      </c>
      <c r="T20" s="6" t="e">
        <f>RANK(G20,$G$20:$G$22)</f>
        <v>#DIV/0!</v>
      </c>
      <c r="U20" s="6" t="e">
        <f>RANK(M20,$M$20:$M$22)</f>
        <v>#DIV/0!</v>
      </c>
      <c r="V20" s="254" t="s">
        <v>184</v>
      </c>
    </row>
    <row r="21" spans="1:22" ht="18" x14ac:dyDescent="0.35">
      <c r="A21" s="9" t="s">
        <v>26</v>
      </c>
      <c r="B21" s="23">
        <f>IF($I$5="ALL",COUNTIFS(Database!$B$4:$B$3333,"="&amp;$I$4,Database!$S$4:$S$3333,"=1"),COUNTIFS(Database!$F$4:$F$3333,"="&amp;$I$5,Database!$B$4:$B$3333,"="&amp;$I$4,Database!$S$4:$S$3333,"=1"))</f>
        <v>0</v>
      </c>
      <c r="C21" s="23">
        <f>IF($I$5="ALL",COUNTIFS(Database!$B$4:$B$3333,"="&amp;$I$4,Database!$S$4:$S$3333,"=2"),COUNTIFS(Database!$F$4:$F$3333,"="&amp;$I$5,Database!$B$4:$B$3333,"="&amp;$I$4,Database!$S$4:$S$3333,"=2"))</f>
        <v>0</v>
      </c>
      <c r="D21" s="23">
        <f>IF($I$5="ALL",COUNTIFS(Database!$B$4:$B$3333,"="&amp;$I$4,Database!$S$4:$S$3333,"=3"),COUNTIFS(Database!$F$4:$F$3333,"="&amp;$I$5,Database!$B$4:$B$3333,"="&amp;$I$4,Database!$S$4:$S$3333,"=3"))</f>
        <v>0</v>
      </c>
      <c r="E21" s="23">
        <f>IF($I$5="ALL",COUNTIFS(Database!$B$4:$B$3333,"="&amp;$I$4,Database!$S$4:$S$3333,"=4"),COUNTIFS(Database!$F$4:$F$3333,"="&amp;$I$5,Database!$B$4:$B$3333,"="&amp;$I$4,Database!$S$4:$S$3333,"=4"))</f>
        <v>0</v>
      </c>
      <c r="F21" s="9">
        <f t="shared" si="0"/>
        <v>0</v>
      </c>
      <c r="G21" s="10" t="e">
        <f t="shared" si="10"/>
        <v>#DIV/0!</v>
      </c>
      <c r="H21" s="23">
        <f>IF($I$5="ALL",COUNTIFS(Database!$AC$4:$AC$3333,"="&amp;$I$4,Database!$AT$4:$AT$3333,"=1"),COUNTIFS(Database!$AG$4:$AG$3333,"="&amp;$I$5,Database!$AC$4:$AC$3333,"="&amp;$I$4,Database!$AT$4:$AT$3333,"=1"))</f>
        <v>0</v>
      </c>
      <c r="I21" s="23">
        <f>IF($I$5="ALL",COUNTIFS(Database!$AC$4:$AC$3333,"="&amp;$I$4,Database!$AT$4:$AT$3333,"=2"),COUNTIFS(Database!$AG$4:$AG$3333,"="&amp;$I$5,Database!$AC$4:$AC$3333,"="&amp;$I$4,Database!$AT$4:$AT$3333,"=2"))</f>
        <v>0</v>
      </c>
      <c r="J21" s="23">
        <f>IF($I$5="ALL",COUNTIFS(Database!$AC$4:$AC$3333,"="&amp;$I$4,Database!$AT$4:$AT$3333,"=3"),COUNTIFS(Database!$AG$4:$AG$3333,"="&amp;$I$5,Database!$AC$4:$AC$3333,"="&amp;$I$4,Database!$AT$4:$AT$3333,"=3"))</f>
        <v>0</v>
      </c>
      <c r="K21" s="23">
        <f>IF($I$5="ALL",COUNTIFS(Database!$AC$4:$AC$3333,"="&amp;$I$4,Database!$AT$4:$AT$3333,"=4"),COUNTIFS(Database!$AG$4:$AG$3333,"="&amp;$I$5,Database!$AC$4:$AC$3333,"="&amp;$I$4,Database!$AT$4:$AT$3333,"=4"))</f>
        <v>0</v>
      </c>
      <c r="L21" s="9">
        <f t="shared" si="1"/>
        <v>0</v>
      </c>
      <c r="M21" s="10" t="e">
        <f t="shared" si="2"/>
        <v>#DIV/0!</v>
      </c>
      <c r="N21" s="10" t="e">
        <f t="shared" si="3"/>
        <v>#DIV/0!</v>
      </c>
      <c r="O21" s="32" t="e">
        <f t="shared" si="4"/>
        <v>#DIV/0!</v>
      </c>
      <c r="P21" s="11" t="s">
        <v>58</v>
      </c>
      <c r="Q21" s="32" t="e">
        <f t="shared" ref="Q21:Q22" si="14">RANK(N21,$N$20:$N$22,0)</f>
        <v>#DIV/0!</v>
      </c>
      <c r="R21" s="6" t="e">
        <f t="shared" si="6"/>
        <v>#DIV/0!</v>
      </c>
      <c r="S21" s="6" t="e">
        <f t="shared" si="7"/>
        <v>#DIV/0!</v>
      </c>
      <c r="T21" s="6" t="e">
        <f t="shared" ref="T21:T22" si="15">RANK(G21,$G$20:$G$22)</f>
        <v>#DIV/0!</v>
      </c>
      <c r="U21" s="6" t="e">
        <f t="shared" ref="U21:U22" si="16">RANK(M21,$M$20:$M$22)</f>
        <v>#DIV/0!</v>
      </c>
      <c r="V21" s="254"/>
    </row>
    <row r="22" spans="1:22" ht="18" x14ac:dyDescent="0.35">
      <c r="A22" s="9" t="s">
        <v>27</v>
      </c>
      <c r="B22" s="23">
        <f>IF($I$5="ALL",COUNTIFS(Database!$B$4:$B$3333,"="&amp;$I$4,Database!$T$4:$T$3333,"=1"),COUNTIFS(Database!$F$4:$F$3333,"="&amp;$I$5,Database!$B$4:$B$3333,"="&amp;$I$4,Database!$T$4:$T$3333,"=1"))</f>
        <v>0</v>
      </c>
      <c r="C22" s="23">
        <f>IF($I$5="ALL",COUNTIFS(Database!$B$4:$B$3333,"="&amp;$I$4,Database!$T$4:$T$3333,"=2"),COUNTIFS(Database!$F$4:$F$3333,"="&amp;$I$5,Database!$B$4:$B$3333,"="&amp;$I$4,Database!$T$4:$T$3333,"=2"))</f>
        <v>0</v>
      </c>
      <c r="D22" s="23">
        <f>IF($I$5="ALL",COUNTIFS(Database!$B$4:$B$3333,"="&amp;$I$4,Database!$T$4:$T$3333,"=3"),COUNTIFS(Database!$F$4:$F$3333,"="&amp;$I$5,Database!$B$4:$B$3333,"="&amp;$I$4,Database!$T$4:$T$3333,"=3"))</f>
        <v>0</v>
      </c>
      <c r="E22" s="23">
        <f>IF($I$5="ALL",COUNTIFS(Database!$B$4:$B$3333,"="&amp;$I$4,Database!$T$4:$T$3333,"=4"),COUNTIFS(Database!$F$4:$F$3333,"="&amp;$I$5,Database!$B$4:$B$3333,"="&amp;$I$4,Database!$T$4:$T$3333,"=4"))</f>
        <v>0</v>
      </c>
      <c r="F22" s="9">
        <f t="shared" si="0"/>
        <v>0</v>
      </c>
      <c r="G22" s="10" t="e">
        <f t="shared" si="10"/>
        <v>#DIV/0!</v>
      </c>
      <c r="H22" s="23">
        <f>IF($I$5="ALL",COUNTIFS(Database!$AC$4:$AC$3333,"="&amp;$I$4,Database!$AU$4:$AU$3333,"=1"),COUNTIFS(Database!$AG$4:$AG$3333,"="&amp;$I$5,Database!$AC$4:$AC$3333,"="&amp;$I$4,Database!$AU$4:$AU$3333,"=1"))</f>
        <v>0</v>
      </c>
      <c r="I22" s="23">
        <f>IF($I$5="ALL",COUNTIFS(Database!$AC$4:$AC$3333,"="&amp;$I$4,Database!$AU$4:$AU$3333,"=2"),COUNTIFS(Database!$AG$4:$AG$3333,"="&amp;$I$5,Database!$AC$4:$AC$3333,"="&amp;$I$4,Database!$AU$4:$AU$3333,"=2"))</f>
        <v>0</v>
      </c>
      <c r="J22" s="23">
        <f>IF($I$5="ALL",COUNTIFS(Database!$AC$4:$AC$3333,"="&amp;$I$4,Database!$AU$4:$AU$3333,"=3"),COUNTIFS(Database!$AG$4:$AG$3333,"="&amp;$I$5,Database!$AC$4:$AC$3333,"="&amp;$I$4,Database!$AU$4:$AU$3333,"=3"))</f>
        <v>0</v>
      </c>
      <c r="K22" s="23">
        <f>IF($I$5="ALL",COUNTIFS(Database!$AC$4:$AC$3333,"="&amp;$I$4,Database!$AU$4:$AU$3333,"=4"),COUNTIFS(Database!$AG$4:$AG$3333,"="&amp;$I$5,Database!$AC$4:$AC$3333,"="&amp;$I$4,Database!$AU$4:$AU$3333,"=4"))</f>
        <v>0</v>
      </c>
      <c r="L22" s="9">
        <f t="shared" si="1"/>
        <v>0</v>
      </c>
      <c r="M22" s="10" t="e">
        <f>L22/(K22+J22+I22+H22)</f>
        <v>#DIV/0!</v>
      </c>
      <c r="N22" s="10" t="e">
        <f t="shared" si="3"/>
        <v>#DIV/0!</v>
      </c>
      <c r="O22" s="32" t="e">
        <f t="shared" si="4"/>
        <v>#DIV/0!</v>
      </c>
      <c r="P22" s="11" t="s">
        <v>6</v>
      </c>
      <c r="Q22" s="32" t="e">
        <f t="shared" si="14"/>
        <v>#DIV/0!</v>
      </c>
      <c r="R22" s="6" t="e">
        <f t="shared" si="6"/>
        <v>#DIV/0!</v>
      </c>
      <c r="S22" s="6" t="e">
        <f t="shared" si="7"/>
        <v>#DIV/0!</v>
      </c>
      <c r="T22" s="6" t="e">
        <f t="shared" si="15"/>
        <v>#DIV/0!</v>
      </c>
      <c r="U22" s="6" t="e">
        <f t="shared" si="16"/>
        <v>#DIV/0!</v>
      </c>
      <c r="V22" s="254"/>
    </row>
    <row r="23" spans="1:22" ht="18" x14ac:dyDescent="0.35">
      <c r="A23" s="9" t="s">
        <v>28</v>
      </c>
      <c r="B23" s="23">
        <f>IF($I$5="ALL",COUNTIFS(Database!$B$4:$B$3333,"="&amp;$I$4,Database!$U$4:$U$3333,"=1"),COUNTIFS(Database!$F$4:$F$3333,"="&amp;$I$5,Database!$B$4:$B$3333,"="&amp;$I$4,Database!$U$4:$U$3333,"=1"))</f>
        <v>0</v>
      </c>
      <c r="C23" s="23">
        <f>IF($I$5="ALL",COUNTIFS(Database!$B$4:$B$3333,"="&amp;$I$4,Database!$U$4:$U$3333,"=2"),COUNTIFS(Database!$F$4:$F$3333,"="&amp;$I$5,Database!$B$4:$B$3333,"="&amp;$I$4,Database!$U$4:$U$3333,"=2"))</f>
        <v>0</v>
      </c>
      <c r="D23" s="23">
        <f>IF($I$5="ALL",COUNTIFS(Database!$B$4:$B$3333,"="&amp;$I$4,Database!$U$4:$U$3333,"=3"),COUNTIFS(Database!$F$4:$F$3333,"="&amp;$I$5,Database!$B$4:$B$3333,"="&amp;$I$4,Database!$U$4:$U$3333,"=3"))</f>
        <v>0</v>
      </c>
      <c r="E23" s="23">
        <f>IF($I$5="ALL",COUNTIFS(Database!$B$4:$B$3333,"="&amp;$I$4,Database!$U$4:$U$3333,"=4"),COUNTIFS(Database!$F$4:$F$3333,"="&amp;$I$5,Database!$B$4:$B$3333,"="&amp;$I$4,Database!$U$4:$U$3333,"=4"))</f>
        <v>0</v>
      </c>
      <c r="F23" s="9">
        <f t="shared" si="0"/>
        <v>0</v>
      </c>
      <c r="G23" s="10" t="e">
        <f t="shared" si="10"/>
        <v>#DIV/0!</v>
      </c>
      <c r="H23" s="23">
        <f>IF($I$5="ALL",COUNTIFS(Database!$AC$4:$AC$3333,"="&amp;$I$4,Database!$AV$4:$AV$3333,"=1"),COUNTIFS(Database!$AG$4:$AG$3333,"="&amp;$I$5,Database!$AC$4:$AC$3333,"="&amp;$I$4,Database!$AV$4:$AV$3333,"=1"))</f>
        <v>0</v>
      </c>
      <c r="I23" s="23">
        <f>IF($I$5="ALL",COUNTIFS(Database!$AC$4:$AC$3333,"="&amp;$I$4,Database!$AV$4:$AV$3333,"=2"),COUNTIFS(Database!$AG$4:$AG$3333,"="&amp;$I$5,Database!$AC$4:$AC$3333,"="&amp;$I$4,Database!$AV$4:$AV$3333,"=2"))</f>
        <v>0</v>
      </c>
      <c r="J23" s="23">
        <f>IF($I$5="ALL",COUNTIFS(Database!$AC$4:$AC$3333,"="&amp;$I$4,Database!$AV$4:$AV$3333,"=3"),COUNTIFS(Database!$AG$4:$AG$3333,"="&amp;$I$5,Database!$AC$4:$AC$3333,"="&amp;$I$4,Database!$AV$4:$AV$3333,"=3"))</f>
        <v>0</v>
      </c>
      <c r="K23" s="23">
        <f>IF($I$5="ALL",COUNTIFS(Database!$AC$4:$AC$3333,"="&amp;$I$4,Database!$AV$4:$AV$3333,"=4"),COUNTIFS(Database!$AG$4:$AG$3333,"="&amp;$I$5,Database!$AC$4:$AC$3333,"="&amp;$I$4,Database!$AV$4:$AV$3333,"=4"))</f>
        <v>0</v>
      </c>
      <c r="L23" s="9">
        <f t="shared" si="1"/>
        <v>0</v>
      </c>
      <c r="M23" s="10" t="e">
        <f>L23/(K23+J23+I23+H23)</f>
        <v>#DIV/0!</v>
      </c>
      <c r="N23" s="10" t="e">
        <f t="shared" si="3"/>
        <v>#DIV/0!</v>
      </c>
      <c r="O23" s="32" t="e">
        <f t="shared" si="4"/>
        <v>#DIV/0!</v>
      </c>
      <c r="P23" s="11" t="s">
        <v>59</v>
      </c>
      <c r="Q23" s="32" t="e">
        <f>RANK(N23,$N$23:$N$28,0)</f>
        <v>#DIV/0!</v>
      </c>
      <c r="R23" s="6" t="e">
        <f t="shared" si="6"/>
        <v>#DIV/0!</v>
      </c>
      <c r="S23" s="6" t="e">
        <f t="shared" si="7"/>
        <v>#DIV/0!</v>
      </c>
      <c r="T23" s="6" t="e">
        <f>RANK(G23,$G$23:$G$28)</f>
        <v>#DIV/0!</v>
      </c>
      <c r="U23" s="6" t="e">
        <f>RANK(M23,$M$23:$M$28)</f>
        <v>#DIV/0!</v>
      </c>
      <c r="V23" s="253" t="s">
        <v>185</v>
      </c>
    </row>
    <row r="24" spans="1:22" ht="18" x14ac:dyDescent="0.35">
      <c r="A24" s="9" t="s">
        <v>29</v>
      </c>
      <c r="B24" s="23">
        <f>IF($I$5="ALL",COUNTIFS(Database!$B$4:$B$3333,"="&amp;$I$4,Database!$V$4:$V$3333,"=1"),COUNTIFS(Database!$F$4:$F$3333,"="&amp;$I$5,Database!$B$4:$B$3333,"="&amp;$I$4,Database!$V$4:$V$3333,"=1"))</f>
        <v>0</v>
      </c>
      <c r="C24" s="23">
        <f>IF($I$5="ALL",COUNTIFS(Database!$B$4:$B$3333,"="&amp;$I$4,Database!$V$4:$V$3333,"=2"),COUNTIFS(Database!$F$4:$F$3333,"="&amp;$I$5,Database!$B$4:$B$3333,"="&amp;$I$4,Database!$V$4:$V$3333,"=2"))</f>
        <v>0</v>
      </c>
      <c r="D24" s="23">
        <f>IF($I$5="ALL",COUNTIFS(Database!$B$4:$B$3333,"="&amp;$I$4,Database!$V$4:$V$3333,"=3"),COUNTIFS(Database!$F$4:$F$3333,"="&amp;$I$5,Database!$B$4:$B$3333,"="&amp;$I$4,Database!$V$4:$V$3333,"=3"))</f>
        <v>0</v>
      </c>
      <c r="E24" s="23">
        <f>IF($I$5="ALL",COUNTIFS(Database!$B$4:$B$3333,"="&amp;$I$4,Database!$V$4:$V$3333,"=4"),COUNTIFS(Database!$F$4:$F$3333,"="&amp;$I$5,Database!$B$4:$B$3333,"="&amp;$I$4,Database!$V$4:$V$3333,"=4"))</f>
        <v>0</v>
      </c>
      <c r="F24" s="9">
        <f t="shared" si="0"/>
        <v>0</v>
      </c>
      <c r="G24" s="10" t="e">
        <f t="shared" si="10"/>
        <v>#DIV/0!</v>
      </c>
      <c r="H24" s="23">
        <f>IF($I$5="ALL",COUNTIFS(Database!$AC$4:$AC$3333,"="&amp;$I$4,Database!$AW$4:$AW$3333,"=1"),COUNTIFS(Database!$AG$4:$AG$3333,"="&amp;$I$5,Database!$AC$4:$AC$3333,"="&amp;$I$4,Database!$AW$4:$AW$3333,"=1"))</f>
        <v>0</v>
      </c>
      <c r="I24" s="23">
        <f>IF($I$5="ALL",COUNTIFS(Database!$AC$4:$AC$3333,"="&amp;$I$4,Database!$AW$4:$AW$3333,"=2"),COUNTIFS(Database!$AG$4:$AG$3333,"="&amp;$I$5,Database!$AC$4:$AC$3333,"="&amp;$I$4,Database!$AW$4:$AW$3333,"=2"))</f>
        <v>0</v>
      </c>
      <c r="J24" s="23">
        <f>IF($I$5="ALL",COUNTIFS(Database!$AC$4:$AC$3333,"="&amp;$I$4,Database!$AW$4:$AW$3333,"=3"),COUNTIFS(Database!$AG$4:$AG$3333,"="&amp;$I$5,Database!$AC$4:$AC$3333,"="&amp;$I$4,Database!$AW$4:$AW$3333,"=3"))</f>
        <v>0</v>
      </c>
      <c r="K24" s="23">
        <f>IF($I$5="ALL",COUNTIFS(Database!$AC$4:$AC$3333,"="&amp;$I$4,Database!$AW$4:$AW$3333,"=4"),COUNTIFS(Database!$AG$4:$AG$3333,"="&amp;$I$5,Database!$AC$4:$AC$3333,"="&amp;$I$4,Database!$AW$4:$AW$3333,"=4"))</f>
        <v>0</v>
      </c>
      <c r="L24" s="9">
        <f t="shared" si="1"/>
        <v>0</v>
      </c>
      <c r="M24" s="10" t="e">
        <f t="shared" si="2"/>
        <v>#DIV/0!</v>
      </c>
      <c r="N24" s="10" t="e">
        <f t="shared" si="3"/>
        <v>#DIV/0!</v>
      </c>
      <c r="O24" s="32" t="e">
        <f t="shared" si="4"/>
        <v>#DIV/0!</v>
      </c>
      <c r="P24" s="11" t="s">
        <v>60</v>
      </c>
      <c r="Q24" s="32" t="e">
        <f t="shared" ref="Q24:Q28" si="17">RANK(N24,$N$23:$N$28,0)</f>
        <v>#DIV/0!</v>
      </c>
      <c r="R24" s="6" t="e">
        <f t="shared" si="6"/>
        <v>#DIV/0!</v>
      </c>
      <c r="S24" s="6" t="e">
        <f t="shared" si="7"/>
        <v>#DIV/0!</v>
      </c>
      <c r="T24" s="6" t="e">
        <f t="shared" ref="T24:T28" si="18">RANK(G24,$G$23:$G$28)</f>
        <v>#DIV/0!</v>
      </c>
      <c r="U24" s="6" t="e">
        <f t="shared" ref="U24:U28" si="19">RANK(M24,$M$23:$M$28)</f>
        <v>#DIV/0!</v>
      </c>
      <c r="V24" s="253"/>
    </row>
    <row r="25" spans="1:22" ht="18" x14ac:dyDescent="0.35">
      <c r="A25" s="9" t="s">
        <v>30</v>
      </c>
      <c r="B25" s="23">
        <f>IF($I$5="ALL",COUNTIFS(Database!$B$4:$B$3333,"="&amp;$I$4,Database!$W$4:$W$3333,"=1"),COUNTIFS(Database!$F$4:$F$3333,"="&amp;$I$5,Database!$B$4:$B$3333,"="&amp;$I$4,Database!$W$4:$W$3333,"=1"))</f>
        <v>0</v>
      </c>
      <c r="C25" s="23">
        <f>IF($I$5="ALL",COUNTIFS(Database!$B$4:$B$3333,"="&amp;$I$4,Database!$W$4:$W$3333,"=2"),COUNTIFS(Database!$F$4:$F$3333,"="&amp;$I$5,Database!$B$4:$B$3333,"="&amp;$I$4,Database!$W$4:$W$3333,"=2"))</f>
        <v>0</v>
      </c>
      <c r="D25" s="23">
        <f>IF($I$5="ALL",COUNTIFS(Database!$B$4:$B$3333,"="&amp;$I$4,Database!$W$4:$W$3333,"=3"),COUNTIFS(Database!$F$4:$F$3333,"="&amp;$I$5,Database!$B$4:$B$3333,"="&amp;$I$4,Database!$W$4:$W$3333,"=3"))</f>
        <v>0</v>
      </c>
      <c r="E25" s="23">
        <f>IF($I$5="ALL",COUNTIFS(Database!$B$4:$B$3333,"="&amp;$I$4,Database!$W$4:$W$3333,"=4"),COUNTIFS(Database!$F$4:$F$3333,"="&amp;$I$5,Database!$B$4:$B$3333,"="&amp;$I$4,Database!$W$4:$W$3333,"=4"))</f>
        <v>0</v>
      </c>
      <c r="F25" s="9">
        <f t="shared" si="0"/>
        <v>0</v>
      </c>
      <c r="G25" s="10" t="e">
        <f t="shared" si="10"/>
        <v>#DIV/0!</v>
      </c>
      <c r="H25" s="23">
        <f>IF($I$5="ALL",COUNTIFS(Database!$AC$4:$AC$3333,"="&amp;$I$4,Database!$AX$4:$AX$3333,"=1"),COUNTIFS(Database!$AG$4:$AG$3333,"="&amp;$I$5,Database!$AC$4:$AC$3333,"="&amp;$I$4,Database!$AX$4:$AX$3333,"=1"))</f>
        <v>0</v>
      </c>
      <c r="I25" s="23">
        <f>IF($I$5="ALL",COUNTIFS(Database!$AC$4:$AC$3333,"="&amp;$I$4,Database!$AX$4:$AX$3333,"=2"),COUNTIFS(Database!$AG$4:$AG$3333,"="&amp;$I$5,Database!$AC$4:$AC$3333,"="&amp;$I$4,Database!$AX$4:$AX$3333,"=2"))</f>
        <v>0</v>
      </c>
      <c r="J25" s="23">
        <f>IF($I$5="ALL",COUNTIFS(Database!$AC$4:$AC$3333,"="&amp;$I$4,Database!$AX$4:$AX$3333,"=3"),COUNTIFS(Database!$AG$4:$AG$3333,"="&amp;$I$5,Database!$AC$4:$AC$3333,"="&amp;$I$4,Database!$AX$4:$AX$3333,"=3"))</f>
        <v>0</v>
      </c>
      <c r="K25" s="23">
        <f>IF($I$5="ALL",COUNTIFS(Database!$AC$4:$AC$3333,"="&amp;$I$4,Database!$AX$4:$AX$3333,"=4"),COUNTIFS(Database!$AG$4:$AG$3333,"="&amp;$I$5,Database!$AC$4:$AC$3333,"="&amp;$I$4,Database!$AX$4:$AX$3333,"=4"))</f>
        <v>0</v>
      </c>
      <c r="L25" s="9">
        <f t="shared" si="1"/>
        <v>0</v>
      </c>
      <c r="M25" s="10" t="e">
        <f t="shared" si="2"/>
        <v>#DIV/0!</v>
      </c>
      <c r="N25" s="10" t="e">
        <f t="shared" si="3"/>
        <v>#DIV/0!</v>
      </c>
      <c r="O25" s="32" t="e">
        <f t="shared" si="4"/>
        <v>#DIV/0!</v>
      </c>
      <c r="P25" s="11" t="s">
        <v>7</v>
      </c>
      <c r="Q25" s="32" t="e">
        <f t="shared" si="17"/>
        <v>#DIV/0!</v>
      </c>
      <c r="R25" s="6" t="e">
        <f t="shared" si="6"/>
        <v>#DIV/0!</v>
      </c>
      <c r="S25" s="6" t="e">
        <f t="shared" si="7"/>
        <v>#DIV/0!</v>
      </c>
      <c r="T25" s="6" t="e">
        <f t="shared" si="18"/>
        <v>#DIV/0!</v>
      </c>
      <c r="U25" s="6" t="e">
        <f t="shared" si="19"/>
        <v>#DIV/0!</v>
      </c>
      <c r="V25" s="253"/>
    </row>
    <row r="26" spans="1:22" ht="18" x14ac:dyDescent="0.35">
      <c r="A26" s="9" t="s">
        <v>31</v>
      </c>
      <c r="B26" s="23">
        <f>IF($I$5="ALL",COUNTIFS(Database!$B$4:$B$3333,"="&amp;$I$4,Database!$X$4:$X$3333,"=1"),COUNTIFS(Database!$F$4:$F$3333,"="&amp;$I$5,Database!$B$4:$B$3333,"="&amp;$I$4,Database!$X$4:$X$3333,"=1"))</f>
        <v>0</v>
      </c>
      <c r="C26" s="23">
        <f>IF($I$5="ALL",COUNTIFS(Database!$B$4:$B$3333,"="&amp;$I$4,Database!$X$4:$X$3333,"=2"),COUNTIFS(Database!$F$4:$F$3333,"="&amp;$I$5,Database!$B$4:$B$3333,"="&amp;$I$4,Database!$X$4:$X$3333,"=2"))</f>
        <v>0</v>
      </c>
      <c r="D26" s="23">
        <f>IF($I$5="ALL",COUNTIFS(Database!$B$4:$B$3333,"="&amp;$I$4,Database!$X$4:$X$3333,"=3"),COUNTIFS(Database!$F$4:$F$3333,"="&amp;$I$5,Database!$B$4:$B$3333,"="&amp;$I$4,Database!$X$4:$X$3333,"=3"))</f>
        <v>0</v>
      </c>
      <c r="E26" s="23">
        <f>IF($I$5="ALL",COUNTIFS(Database!$B$4:$B$3333,"="&amp;$I$4,Database!$X$4:$X$3333,"=4"),COUNTIFS(Database!$F$4:$F$3333,"="&amp;$I$5,Database!$B$4:$B$3333,"="&amp;$I$4,Database!$X$4:$X$3333,"=4"))</f>
        <v>0</v>
      </c>
      <c r="F26" s="9">
        <f t="shared" si="0"/>
        <v>0</v>
      </c>
      <c r="G26" s="10" t="e">
        <f t="shared" si="10"/>
        <v>#DIV/0!</v>
      </c>
      <c r="H26" s="23">
        <f>IF($I$5="ALL",COUNTIFS(Database!$AC$4:$AC$3333,"="&amp;$I$4,Database!$AY$4:$AY$3333,"=1"),COUNTIFS(Database!$AG$4:$AG$3333,"="&amp;$I$5,Database!$AC$4:$AC$3333,"="&amp;$I$4,Database!$AY$4:$AY$3333,"=1"))</f>
        <v>0</v>
      </c>
      <c r="I26" s="23">
        <f>IF($I$5="ALL",COUNTIFS(Database!$AC$4:$AC$3333,"="&amp;$I$4,Database!$AY$4:$AY$3333,"=2"),COUNTIFS(Database!$AG$4:$AG$3333,"="&amp;$I$5,Database!$AC$4:$AC$3333,"="&amp;$I$4,Database!$AY$4:$AY$3333,"=2"))</f>
        <v>0</v>
      </c>
      <c r="J26" s="23">
        <f>IF($I$5="ALL",COUNTIFS(Database!$AC$4:$AC$3333,"="&amp;$I$4,Database!$AY$4:$AY$3333,"=3"),COUNTIFS(Database!$AG$4:$AG$3333,"="&amp;$I$5,Database!$AC$4:$AC$3333,"="&amp;$I$4,Database!$AY$4:$AY$3333,"=3"))</f>
        <v>0</v>
      </c>
      <c r="K26" s="23">
        <f>IF($I$5="ALL",COUNTIFS(Database!$AC$4:$AC$3333,"="&amp;$I$4,Database!$AY$4:$AY$3333,"=4"),COUNTIFS(Database!$AG$4:$AG$3333,"="&amp;$I$5,Database!$AC$4:$AC$3333,"="&amp;$I$4,Database!$AY$4:$AY$3333,"=4"))</f>
        <v>0</v>
      </c>
      <c r="L26" s="9">
        <f t="shared" si="1"/>
        <v>0</v>
      </c>
      <c r="M26" s="10" t="e">
        <f t="shared" si="2"/>
        <v>#DIV/0!</v>
      </c>
      <c r="N26" s="10" t="e">
        <f t="shared" si="3"/>
        <v>#DIV/0!</v>
      </c>
      <c r="O26" s="32" t="e">
        <f t="shared" si="4"/>
        <v>#DIV/0!</v>
      </c>
      <c r="P26" s="11" t="s">
        <v>61</v>
      </c>
      <c r="Q26" s="32" t="e">
        <f t="shared" si="17"/>
        <v>#DIV/0!</v>
      </c>
      <c r="R26" s="6" t="e">
        <f t="shared" si="6"/>
        <v>#DIV/0!</v>
      </c>
      <c r="S26" s="6" t="e">
        <f t="shared" si="7"/>
        <v>#DIV/0!</v>
      </c>
      <c r="T26" s="6" t="e">
        <f t="shared" si="18"/>
        <v>#DIV/0!</v>
      </c>
      <c r="U26" s="6" t="e">
        <f t="shared" si="19"/>
        <v>#DIV/0!</v>
      </c>
      <c r="V26" s="253"/>
    </row>
    <row r="27" spans="1:22" ht="18" x14ac:dyDescent="0.35">
      <c r="A27" s="9" t="s">
        <v>32</v>
      </c>
      <c r="B27" s="23">
        <f>IF($I$5="ALL",COUNTIFS(Database!$B$4:$B$3333,"="&amp;$I$4,Database!$Y$4:$Y$3333,"=1"),COUNTIFS(Database!$F$4:$F$3333,"="&amp;$I$5,Database!$B$4:$B$3333,"="&amp;$I$4,Database!$Y$4:$Y$3333,"=1"))</f>
        <v>0</v>
      </c>
      <c r="C27" s="23">
        <f>IF($I$5="ALL",COUNTIFS(Database!$B$4:$B$3333,"="&amp;$I$4,Database!$Y$4:$Y$3333,"=2"),COUNTIFS(Database!$F$4:$F$3333,"="&amp;$I$5,Database!$B$4:$B$3333,"="&amp;$I$4,Database!$Y$4:$Y$3333,"=2"))</f>
        <v>0</v>
      </c>
      <c r="D27" s="23">
        <f>IF($I$5="ALL",COUNTIFS(Database!$B$4:$B$3333,"="&amp;$I$4,Database!$Y$4:$Y$3333,"=3"),COUNTIFS(Database!$F$4:$F$3333,"="&amp;$I$5,Database!$B$4:$B$3333,"="&amp;$I$4,Database!$Y$4:$Y$3333,"=3"))</f>
        <v>0</v>
      </c>
      <c r="E27" s="23">
        <f>IF($I$5="ALL",COUNTIFS(Database!$B$4:$B$3333,"="&amp;$I$4,Database!$Y$4:$Y$3333,"=4"),COUNTIFS(Database!$F$4:$F$3333,"="&amp;$I$5,Database!$B$4:$B$3333,"="&amp;$I$4,Database!$Y$4:$Y$3333,"=4"))</f>
        <v>0</v>
      </c>
      <c r="F27" s="9">
        <f t="shared" si="0"/>
        <v>0</v>
      </c>
      <c r="G27" s="10" t="e">
        <f t="shared" si="10"/>
        <v>#DIV/0!</v>
      </c>
      <c r="H27" s="23">
        <f>IF($I$5="ALL",COUNTIFS(Database!$AC$4:$AC$3333,"="&amp;$I$4,Database!$AZ$4:$AZ$3333,"=1"),COUNTIFS(Database!$AG$4:$AG$3333,"="&amp;$I$5,Database!$AC$4:$AC$3333,"="&amp;$I$4,Database!$AZ$4:$AZ$3333,"=1"))</f>
        <v>0</v>
      </c>
      <c r="I27" s="23">
        <f>IF($I$5="ALL",COUNTIFS(Database!$AC$4:$AC$3333,"="&amp;$I$4,Database!$AZ$4:$AZ$3333,"=2"),COUNTIFS(Database!$AG$4:$AG$3333,"="&amp;$I$5,Database!$AC$4:$AC$3333,"="&amp;$I$4,Database!$AZ$4:$AZ$3333,"=2"))</f>
        <v>0</v>
      </c>
      <c r="J27" s="23">
        <f>IF($I$5="ALL",COUNTIFS(Database!$AC$4:$AC$3333,"="&amp;$I$4,Database!$AZ$4:$AZ$3333,"=3"),COUNTIFS(Database!$AG$4:$AG$3333,"="&amp;$I$5,Database!$AC$4:$AC$3333,"="&amp;$I$4,Database!$AZ$4:$AZ$3333,"=3"))</f>
        <v>0</v>
      </c>
      <c r="K27" s="23">
        <f>IF($I$5="ALL",COUNTIFS(Database!$AC$4:$AC$3333,"="&amp;$I$4,Database!$AZ$4:$AZ$3333,"=4"),COUNTIFS(Database!$AG$4:$AG$3333,"="&amp;$I$5,Database!$AC$4:$AC$3333,"="&amp;$I$4,Database!$AZ$4:$AZ$3333,"=4"))</f>
        <v>0</v>
      </c>
      <c r="L27" s="9">
        <f t="shared" si="1"/>
        <v>0</v>
      </c>
      <c r="M27" s="10" t="e">
        <f t="shared" si="2"/>
        <v>#DIV/0!</v>
      </c>
      <c r="N27" s="10" t="e">
        <f t="shared" si="3"/>
        <v>#DIV/0!</v>
      </c>
      <c r="O27" s="32" t="e">
        <f t="shared" si="4"/>
        <v>#DIV/0!</v>
      </c>
      <c r="P27" s="11" t="s">
        <v>62</v>
      </c>
      <c r="Q27" s="32" t="e">
        <f t="shared" si="17"/>
        <v>#DIV/0!</v>
      </c>
      <c r="R27" s="6" t="e">
        <f t="shared" si="6"/>
        <v>#DIV/0!</v>
      </c>
      <c r="S27" s="6" t="e">
        <f t="shared" si="7"/>
        <v>#DIV/0!</v>
      </c>
      <c r="T27" s="6" t="e">
        <f t="shared" si="18"/>
        <v>#DIV/0!</v>
      </c>
      <c r="U27" s="6" t="e">
        <f t="shared" si="19"/>
        <v>#DIV/0!</v>
      </c>
      <c r="V27" s="253"/>
    </row>
    <row r="28" spans="1:22" ht="18" x14ac:dyDescent="0.35">
      <c r="A28" s="9" t="s">
        <v>33</v>
      </c>
      <c r="B28" s="23">
        <f>IF($I$5="ALL",COUNTIFS(Database!$B$4:$B$3333,"="&amp;$I$4,Database!$Z$4:$Z$3333,"=1"),COUNTIFS(Database!$F$4:$F$3333,"="&amp;$I$5,Database!$B$4:$B$3333,"="&amp;$I$4,Database!$Z$4:$Z$3333,"=1"))</f>
        <v>0</v>
      </c>
      <c r="C28" s="23">
        <f>IF($I$5="ALL",COUNTIFS(Database!$B$4:$B$3333,"="&amp;$I$4,Database!$Z$4:$Z$3333,"=2"),COUNTIFS(Database!$F$4:$F$3333,"="&amp;$I$5,Database!$B$4:$B$3333,"="&amp;$I$4,Database!$Z$4:$Z$3333,"=2"))</f>
        <v>0</v>
      </c>
      <c r="D28" s="23">
        <f>IF($I$5="ALL",COUNTIFS(Database!$B$4:$B$3333,"="&amp;$I$4,Database!$Z$4:$Z$3333,"=3"),COUNTIFS(Database!$F$4:$F$3333,"="&amp;$I$5,Database!$B$4:$B$3333,"="&amp;$I$4,Database!$Z$4:$Z$3333,"=3"))</f>
        <v>0</v>
      </c>
      <c r="E28" s="23">
        <f>IF($I$5="ALL",COUNTIFS(Database!$B$4:$B$3333,"="&amp;$I$4,Database!$Z$4:$Z$3333,"=4"),COUNTIFS(Database!$F$4:$F$3333,"="&amp;$I$5,Database!$B$4:$B$3333,"="&amp;$I$4,Database!$Z$4:$Z$3333,"=4"))</f>
        <v>0</v>
      </c>
      <c r="F28" s="9">
        <f t="shared" si="0"/>
        <v>0</v>
      </c>
      <c r="G28" s="10" t="e">
        <f t="shared" si="10"/>
        <v>#DIV/0!</v>
      </c>
      <c r="H28" s="23">
        <f>IF($I$5="ALL",COUNTIFS(Database!$AC$4:$AC$3333,"="&amp;$I$4,Database!$BA$4:$BA$3333,"=1"),COUNTIFS(Database!$AG$4:$AG$3333,"="&amp;$I$5,Database!$AC$4:$AC$3333,"="&amp;$I$4,Database!$BA$4:$BA$3333,"=1"))</f>
        <v>0</v>
      </c>
      <c r="I28" s="23">
        <f>IF($I$5="ALL",COUNTIFS(Database!$AC$4:$AC$3333,"="&amp;$I$4,Database!$BA$4:$BA$3333,"=2"),COUNTIFS(Database!$AG$4:$AG$3333,"="&amp;$I$5,Database!$AC$4:$AC$3333,"="&amp;$I$4,Database!$BA$4:$BA$3333,"=2"))</f>
        <v>0</v>
      </c>
      <c r="J28" s="23">
        <f>IF($I$5="ALL",COUNTIFS(Database!$AC$4:$AC$3333,"="&amp;$I$4,Database!$BA$4:$BA$3333,"=3"),COUNTIFS(Database!$AG$4:$AG$3333,"="&amp;$I$5,Database!$AC$4:$AC$3333,"="&amp;$I$4,Database!$BA$4:$BA$3333,"=3"))</f>
        <v>0</v>
      </c>
      <c r="K28" s="23">
        <f>IF($I$5="ALL",COUNTIFS(Database!$AC$4:$AC$3333,"="&amp;$I$4,Database!$BA$4:$BA$3333,"=4"),COUNTIFS(Database!$AG$4:$AG$3333,"="&amp;$I$5,Database!$AC$4:$AC$3333,"="&amp;$I$4,Database!$BA$4:$BA$3333,"=4"))</f>
        <v>0</v>
      </c>
      <c r="L28" s="9">
        <f t="shared" si="1"/>
        <v>0</v>
      </c>
      <c r="M28" s="10" t="e">
        <f t="shared" si="2"/>
        <v>#DIV/0!</v>
      </c>
      <c r="N28" s="10" t="e">
        <f t="shared" si="3"/>
        <v>#DIV/0!</v>
      </c>
      <c r="O28" s="32" t="e">
        <f t="shared" si="4"/>
        <v>#DIV/0!</v>
      </c>
      <c r="P28" s="11" t="s">
        <v>63</v>
      </c>
      <c r="Q28" s="32" t="e">
        <f t="shared" si="17"/>
        <v>#DIV/0!</v>
      </c>
      <c r="R28" s="6" t="e">
        <f t="shared" si="6"/>
        <v>#DIV/0!</v>
      </c>
      <c r="S28" s="6" t="e">
        <f t="shared" si="7"/>
        <v>#DIV/0!</v>
      </c>
      <c r="T28" s="6" t="e">
        <f t="shared" si="18"/>
        <v>#DIV/0!</v>
      </c>
      <c r="U28" s="6" t="e">
        <f t="shared" si="19"/>
        <v>#DIV/0!</v>
      </c>
      <c r="V28" s="253"/>
    </row>
    <row r="29" spans="1:22" x14ac:dyDescent="0.3">
      <c r="A29" s="16" t="s">
        <v>64</v>
      </c>
      <c r="B29" s="13">
        <f t="shared" ref="B29:D29" si="20">AVERAGE(B9:B28)</f>
        <v>0</v>
      </c>
      <c r="C29" s="13">
        <f t="shared" si="20"/>
        <v>0</v>
      </c>
      <c r="D29" s="13">
        <f t="shared" si="20"/>
        <v>0</v>
      </c>
      <c r="E29" s="13">
        <f>AVERAGE(E9:E28)</f>
        <v>0</v>
      </c>
      <c r="F29" s="9">
        <f>AVERAGE(F9:F28)</f>
        <v>0</v>
      </c>
      <c r="G29" s="10" t="e">
        <f>AVERAGE(G9:G28)</f>
        <v>#DIV/0!</v>
      </c>
      <c r="H29" s="59">
        <f>AVERAGE(H9:H28)</f>
        <v>0</v>
      </c>
      <c r="I29" s="59">
        <f t="shared" ref="I29:K29" si="21">AVERAGE(I9:I28)</f>
        <v>0</v>
      </c>
      <c r="J29" s="59">
        <f t="shared" si="21"/>
        <v>0</v>
      </c>
      <c r="K29" s="59">
        <f t="shared" si="21"/>
        <v>0</v>
      </c>
      <c r="L29" s="31">
        <f>AVERAGE(L9:L28)</f>
        <v>0</v>
      </c>
      <c r="M29" s="10" t="e">
        <f>AVERAGE(M9:M28)</f>
        <v>#DIV/0!</v>
      </c>
      <c r="N29" s="10" t="e">
        <f>AVERAGE(N9:N28)</f>
        <v>#DIV/0!</v>
      </c>
      <c r="O29" s="279"/>
      <c r="P29" s="14"/>
    </row>
    <row r="30" spans="1:22" ht="18" x14ac:dyDescent="0.35">
      <c r="A30" s="15"/>
      <c r="B30" s="280" t="s">
        <v>65</v>
      </c>
      <c r="C30" s="281"/>
      <c r="D30" s="281"/>
      <c r="E30" s="281"/>
      <c r="F30" s="30">
        <f>+SUM(B29:E29)</f>
        <v>0</v>
      </c>
      <c r="G30" s="17"/>
      <c r="H30" s="281" t="s">
        <v>65</v>
      </c>
      <c r="I30" s="281"/>
      <c r="J30" s="281"/>
      <c r="K30" s="281"/>
      <c r="L30" s="30">
        <f>+SUM(H29:K29)</f>
        <v>0</v>
      </c>
      <c r="M30" s="17"/>
      <c r="N30" s="17"/>
      <c r="O30" s="279"/>
      <c r="P30" s="14"/>
    </row>
    <row r="31" spans="1:22" ht="25.5" customHeight="1" x14ac:dyDescent="0.35">
      <c r="A31" s="18" t="s">
        <v>66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282" t="e">
        <f>G29/M29*100</f>
        <v>#DIV/0!</v>
      </c>
      <c r="M31" s="282"/>
      <c r="N31" s="19"/>
      <c r="O31" s="20"/>
      <c r="P31" s="14"/>
    </row>
    <row r="32" spans="1:22" x14ac:dyDescent="0.3">
      <c r="F32" s="21"/>
      <c r="G32" s="21"/>
      <c r="H32" s="21"/>
      <c r="I32" s="21"/>
      <c r="J32" s="21"/>
      <c r="K32" s="21"/>
    </row>
  </sheetData>
  <mergeCells count="26">
    <mergeCell ref="P7:P8"/>
    <mergeCell ref="O29:O30"/>
    <mergeCell ref="B30:E30"/>
    <mergeCell ref="H30:K30"/>
    <mergeCell ref="L31:M31"/>
    <mergeCell ref="A2:O2"/>
    <mergeCell ref="B7:G7"/>
    <mergeCell ref="H7:M7"/>
    <mergeCell ref="O7:O8"/>
    <mergeCell ref="I5:L5"/>
    <mergeCell ref="I4:L4"/>
    <mergeCell ref="I3:L3"/>
    <mergeCell ref="A3:H3"/>
    <mergeCell ref="A4:H4"/>
    <mergeCell ref="A5:H5"/>
    <mergeCell ref="V7:V8"/>
    <mergeCell ref="V23:V28"/>
    <mergeCell ref="V20:V22"/>
    <mergeCell ref="V15:V19"/>
    <mergeCell ref="V13:V14"/>
    <mergeCell ref="V9:V12"/>
    <mergeCell ref="R7:R8"/>
    <mergeCell ref="S7:S8"/>
    <mergeCell ref="T7:T8"/>
    <mergeCell ref="U7:U8"/>
    <mergeCell ref="Q7:Q8"/>
  </mergeCells>
  <conditionalFormatting sqref="B8:E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8:K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9:G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9:M2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N2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9:O28">
    <cfRule type="cellIs" dxfId="25" priority="7" operator="notBetween">
      <formula>0</formula>
      <formula>3</formula>
    </cfRule>
  </conditionalFormatting>
  <conditionalFormatting sqref="Q9:Q28">
    <cfRule type="cellIs" dxfId="24" priority="6" operator="greaterThan">
      <formula>1</formula>
    </cfRule>
  </conditionalFormatting>
  <conditionalFormatting sqref="R9:S28">
    <cfRule type="cellIs" dxfId="23" priority="2" operator="greaterThan">
      <formula>3</formula>
    </cfRule>
  </conditionalFormatting>
  <conditionalFormatting sqref="T9:U28">
    <cfRule type="cellIs" dxfId="22" priority="1" operator="greaterThan">
      <formula>1</formula>
    </cfRule>
  </conditionalFormatting>
  <dataValidations count="6">
    <dataValidation type="list" allowBlank="1" showInputMessage="1" showErrorMessage="1" sqref="I3">
      <formula1>cabang</formula1>
    </dataValidation>
    <dataValidation type="list" allowBlank="1" showInputMessage="1" showErrorMessage="1" promptTitle="Periode Survei" prompt="Menampilkan hasil survei berdasarkan periode." sqref="I4:L4">
      <formula1>Kuisioner_ke</formula1>
    </dataValidation>
    <dataValidation type="list" allowBlank="1" showInputMessage="1" showErrorMessage="1" promptTitle="Channel" prompt="Menampilkan Hasil Survei berdasarkan channel." sqref="I5:L5">
      <formula1>pilihan_channel</formula1>
    </dataValidation>
    <dataValidation allowBlank="1" showInputMessage="1" showErrorMessage="1" promptTitle="Keterangan" prompt="Jangan lakukan perubahan disini" sqref="A7:O31"/>
    <dataValidation allowBlank="1" showInputMessage="1" showErrorMessage="1" promptTitle="Keterangan" prompt="Hasil survei secara nasional" sqref="A1:O1"/>
    <dataValidation allowBlank="1" showInputMessage="1" showErrorMessage="1" promptTitle="Keterangan" prompt="Hasil survei nasional" sqref="A4:H6 A2:O2 I6:P6"/>
  </dataValidation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4"/>
  <sheetViews>
    <sheetView topLeftCell="A2" zoomScaleNormal="100" workbookViewId="0">
      <selection activeCell="O6" sqref="O6"/>
    </sheetView>
  </sheetViews>
  <sheetFormatPr defaultRowHeight="15" x14ac:dyDescent="0.3"/>
  <cols>
    <col min="1" max="1" width="8.85546875" style="2" customWidth="1"/>
    <col min="2" max="2" width="6.28515625" style="2" customWidth="1"/>
    <col min="3" max="5" width="8.42578125" style="2" bestFit="1" customWidth="1"/>
    <col min="6" max="6" width="7.7109375" style="2" customWidth="1"/>
    <col min="7" max="7" width="9.28515625" style="2" customWidth="1"/>
    <col min="8" max="8" width="8.85546875" style="2" customWidth="1"/>
    <col min="9" max="9" width="9.140625" style="2" customWidth="1"/>
    <col min="10" max="12" width="7.7109375" style="2" customWidth="1"/>
    <col min="13" max="13" width="8.140625" style="2" customWidth="1"/>
    <col min="14" max="14" width="11.28515625" style="2" customWidth="1"/>
    <col min="15" max="15" width="14.28515625" style="3" customWidth="1"/>
    <col min="16" max="16" width="75.140625" style="4" customWidth="1"/>
    <col min="17" max="17" width="14.85546875" style="3" customWidth="1"/>
    <col min="18" max="18" width="12.42578125" style="3" customWidth="1"/>
    <col min="19" max="19" width="12.5703125" style="3" customWidth="1"/>
    <col min="20" max="21" width="12.7109375" style="3" customWidth="1"/>
    <col min="22" max="22" width="25.85546875" style="3" bestFit="1" customWidth="1"/>
    <col min="23" max="254" width="9.140625" style="3"/>
    <col min="255" max="255" width="9.28515625" style="3" customWidth="1"/>
    <col min="256" max="258" width="5.28515625" style="3" customWidth="1"/>
    <col min="259" max="259" width="7.7109375" style="3" bestFit="1" customWidth="1"/>
    <col min="260" max="260" width="7.7109375" style="3" customWidth="1"/>
    <col min="261" max="261" width="9.28515625" style="3" customWidth="1"/>
    <col min="262" max="262" width="6.85546875" style="3" customWidth="1"/>
    <col min="263" max="263" width="5.28515625" style="3" customWidth="1"/>
    <col min="264" max="264" width="5.7109375" style="3" customWidth="1"/>
    <col min="265" max="265" width="6.140625" style="3" customWidth="1"/>
    <col min="266" max="266" width="7.7109375" style="3" customWidth="1"/>
    <col min="267" max="267" width="8.140625" style="3" bestFit="1" customWidth="1"/>
    <col min="268" max="268" width="11.28515625" style="3" bestFit="1" customWidth="1"/>
    <col min="269" max="269" width="14.28515625" style="3" customWidth="1"/>
    <col min="270" max="270" width="79.42578125" style="3" customWidth="1"/>
    <col min="271" max="510" width="9.140625" style="3"/>
    <col min="511" max="511" width="9.28515625" style="3" customWidth="1"/>
    <col min="512" max="514" width="5.28515625" style="3" customWidth="1"/>
    <col min="515" max="515" width="7.7109375" style="3" bestFit="1" customWidth="1"/>
    <col min="516" max="516" width="7.7109375" style="3" customWidth="1"/>
    <col min="517" max="517" width="9.28515625" style="3" customWidth="1"/>
    <col min="518" max="518" width="6.85546875" style="3" customWidth="1"/>
    <col min="519" max="519" width="5.28515625" style="3" customWidth="1"/>
    <col min="520" max="520" width="5.7109375" style="3" customWidth="1"/>
    <col min="521" max="521" width="6.140625" style="3" customWidth="1"/>
    <col min="522" max="522" width="7.7109375" style="3" customWidth="1"/>
    <col min="523" max="523" width="8.140625" style="3" bestFit="1" customWidth="1"/>
    <col min="524" max="524" width="11.28515625" style="3" bestFit="1" customWidth="1"/>
    <col min="525" max="525" width="14.28515625" style="3" customWidth="1"/>
    <col min="526" max="526" width="79.42578125" style="3" customWidth="1"/>
    <col min="527" max="766" width="9.140625" style="3"/>
    <col min="767" max="767" width="9.28515625" style="3" customWidth="1"/>
    <col min="768" max="770" width="5.28515625" style="3" customWidth="1"/>
    <col min="771" max="771" width="7.7109375" style="3" bestFit="1" customWidth="1"/>
    <col min="772" max="772" width="7.7109375" style="3" customWidth="1"/>
    <col min="773" max="773" width="9.28515625" style="3" customWidth="1"/>
    <col min="774" max="774" width="6.85546875" style="3" customWidth="1"/>
    <col min="775" max="775" width="5.28515625" style="3" customWidth="1"/>
    <col min="776" max="776" width="5.7109375" style="3" customWidth="1"/>
    <col min="777" max="777" width="6.140625" style="3" customWidth="1"/>
    <col min="778" max="778" width="7.7109375" style="3" customWidth="1"/>
    <col min="779" max="779" width="8.140625" style="3" bestFit="1" customWidth="1"/>
    <col min="780" max="780" width="11.28515625" style="3" bestFit="1" customWidth="1"/>
    <col min="781" max="781" width="14.28515625" style="3" customWidth="1"/>
    <col min="782" max="782" width="79.42578125" style="3" customWidth="1"/>
    <col min="783" max="1022" width="9.140625" style="3"/>
    <col min="1023" max="1023" width="9.28515625" style="3" customWidth="1"/>
    <col min="1024" max="1026" width="5.28515625" style="3" customWidth="1"/>
    <col min="1027" max="1027" width="7.7109375" style="3" bestFit="1" customWidth="1"/>
    <col min="1028" max="1028" width="7.7109375" style="3" customWidth="1"/>
    <col min="1029" max="1029" width="9.28515625" style="3" customWidth="1"/>
    <col min="1030" max="1030" width="6.85546875" style="3" customWidth="1"/>
    <col min="1031" max="1031" width="5.28515625" style="3" customWidth="1"/>
    <col min="1032" max="1032" width="5.7109375" style="3" customWidth="1"/>
    <col min="1033" max="1033" width="6.140625" style="3" customWidth="1"/>
    <col min="1034" max="1034" width="7.7109375" style="3" customWidth="1"/>
    <col min="1035" max="1035" width="8.140625" style="3" bestFit="1" customWidth="1"/>
    <col min="1036" max="1036" width="11.28515625" style="3" bestFit="1" customWidth="1"/>
    <col min="1037" max="1037" width="14.28515625" style="3" customWidth="1"/>
    <col min="1038" max="1038" width="79.42578125" style="3" customWidth="1"/>
    <col min="1039" max="1278" width="9.140625" style="3"/>
    <col min="1279" max="1279" width="9.28515625" style="3" customWidth="1"/>
    <col min="1280" max="1282" width="5.28515625" style="3" customWidth="1"/>
    <col min="1283" max="1283" width="7.7109375" style="3" bestFit="1" customWidth="1"/>
    <col min="1284" max="1284" width="7.7109375" style="3" customWidth="1"/>
    <col min="1285" max="1285" width="9.28515625" style="3" customWidth="1"/>
    <col min="1286" max="1286" width="6.85546875" style="3" customWidth="1"/>
    <col min="1287" max="1287" width="5.28515625" style="3" customWidth="1"/>
    <col min="1288" max="1288" width="5.7109375" style="3" customWidth="1"/>
    <col min="1289" max="1289" width="6.140625" style="3" customWidth="1"/>
    <col min="1290" max="1290" width="7.7109375" style="3" customWidth="1"/>
    <col min="1291" max="1291" width="8.140625" style="3" bestFit="1" customWidth="1"/>
    <col min="1292" max="1292" width="11.28515625" style="3" bestFit="1" customWidth="1"/>
    <col min="1293" max="1293" width="14.28515625" style="3" customWidth="1"/>
    <col min="1294" max="1294" width="79.42578125" style="3" customWidth="1"/>
    <col min="1295" max="1534" width="9.140625" style="3"/>
    <col min="1535" max="1535" width="9.28515625" style="3" customWidth="1"/>
    <col min="1536" max="1538" width="5.28515625" style="3" customWidth="1"/>
    <col min="1539" max="1539" width="7.7109375" style="3" bestFit="1" customWidth="1"/>
    <col min="1540" max="1540" width="7.7109375" style="3" customWidth="1"/>
    <col min="1541" max="1541" width="9.28515625" style="3" customWidth="1"/>
    <col min="1542" max="1542" width="6.85546875" style="3" customWidth="1"/>
    <col min="1543" max="1543" width="5.28515625" style="3" customWidth="1"/>
    <col min="1544" max="1544" width="5.7109375" style="3" customWidth="1"/>
    <col min="1545" max="1545" width="6.140625" style="3" customWidth="1"/>
    <col min="1546" max="1546" width="7.7109375" style="3" customWidth="1"/>
    <col min="1547" max="1547" width="8.140625" style="3" bestFit="1" customWidth="1"/>
    <col min="1548" max="1548" width="11.28515625" style="3" bestFit="1" customWidth="1"/>
    <col min="1549" max="1549" width="14.28515625" style="3" customWidth="1"/>
    <col min="1550" max="1550" width="79.42578125" style="3" customWidth="1"/>
    <col min="1551" max="1790" width="9.140625" style="3"/>
    <col min="1791" max="1791" width="9.28515625" style="3" customWidth="1"/>
    <col min="1792" max="1794" width="5.28515625" style="3" customWidth="1"/>
    <col min="1795" max="1795" width="7.7109375" style="3" bestFit="1" customWidth="1"/>
    <col min="1796" max="1796" width="7.7109375" style="3" customWidth="1"/>
    <col min="1797" max="1797" width="9.28515625" style="3" customWidth="1"/>
    <col min="1798" max="1798" width="6.85546875" style="3" customWidth="1"/>
    <col min="1799" max="1799" width="5.28515625" style="3" customWidth="1"/>
    <col min="1800" max="1800" width="5.7109375" style="3" customWidth="1"/>
    <col min="1801" max="1801" width="6.140625" style="3" customWidth="1"/>
    <col min="1802" max="1802" width="7.7109375" style="3" customWidth="1"/>
    <col min="1803" max="1803" width="8.140625" style="3" bestFit="1" customWidth="1"/>
    <col min="1804" max="1804" width="11.28515625" style="3" bestFit="1" customWidth="1"/>
    <col min="1805" max="1805" width="14.28515625" style="3" customWidth="1"/>
    <col min="1806" max="1806" width="79.42578125" style="3" customWidth="1"/>
    <col min="1807" max="2046" width="9.140625" style="3"/>
    <col min="2047" max="2047" width="9.28515625" style="3" customWidth="1"/>
    <col min="2048" max="2050" width="5.28515625" style="3" customWidth="1"/>
    <col min="2051" max="2051" width="7.7109375" style="3" bestFit="1" customWidth="1"/>
    <col min="2052" max="2052" width="7.7109375" style="3" customWidth="1"/>
    <col min="2053" max="2053" width="9.28515625" style="3" customWidth="1"/>
    <col min="2054" max="2054" width="6.85546875" style="3" customWidth="1"/>
    <col min="2055" max="2055" width="5.28515625" style="3" customWidth="1"/>
    <col min="2056" max="2056" width="5.7109375" style="3" customWidth="1"/>
    <col min="2057" max="2057" width="6.140625" style="3" customWidth="1"/>
    <col min="2058" max="2058" width="7.7109375" style="3" customWidth="1"/>
    <col min="2059" max="2059" width="8.140625" style="3" bestFit="1" customWidth="1"/>
    <col min="2060" max="2060" width="11.28515625" style="3" bestFit="1" customWidth="1"/>
    <col min="2061" max="2061" width="14.28515625" style="3" customWidth="1"/>
    <col min="2062" max="2062" width="79.42578125" style="3" customWidth="1"/>
    <col min="2063" max="2302" width="9.140625" style="3"/>
    <col min="2303" max="2303" width="9.28515625" style="3" customWidth="1"/>
    <col min="2304" max="2306" width="5.28515625" style="3" customWidth="1"/>
    <col min="2307" max="2307" width="7.7109375" style="3" bestFit="1" customWidth="1"/>
    <col min="2308" max="2308" width="7.7109375" style="3" customWidth="1"/>
    <col min="2309" max="2309" width="9.28515625" style="3" customWidth="1"/>
    <col min="2310" max="2310" width="6.85546875" style="3" customWidth="1"/>
    <col min="2311" max="2311" width="5.28515625" style="3" customWidth="1"/>
    <col min="2312" max="2312" width="5.7109375" style="3" customWidth="1"/>
    <col min="2313" max="2313" width="6.140625" style="3" customWidth="1"/>
    <col min="2314" max="2314" width="7.7109375" style="3" customWidth="1"/>
    <col min="2315" max="2315" width="8.140625" style="3" bestFit="1" customWidth="1"/>
    <col min="2316" max="2316" width="11.28515625" style="3" bestFit="1" customWidth="1"/>
    <col min="2317" max="2317" width="14.28515625" style="3" customWidth="1"/>
    <col min="2318" max="2318" width="79.42578125" style="3" customWidth="1"/>
    <col min="2319" max="2558" width="9.140625" style="3"/>
    <col min="2559" max="2559" width="9.28515625" style="3" customWidth="1"/>
    <col min="2560" max="2562" width="5.28515625" style="3" customWidth="1"/>
    <col min="2563" max="2563" width="7.7109375" style="3" bestFit="1" customWidth="1"/>
    <col min="2564" max="2564" width="7.7109375" style="3" customWidth="1"/>
    <col min="2565" max="2565" width="9.28515625" style="3" customWidth="1"/>
    <col min="2566" max="2566" width="6.85546875" style="3" customWidth="1"/>
    <col min="2567" max="2567" width="5.28515625" style="3" customWidth="1"/>
    <col min="2568" max="2568" width="5.7109375" style="3" customWidth="1"/>
    <col min="2569" max="2569" width="6.140625" style="3" customWidth="1"/>
    <col min="2570" max="2570" width="7.7109375" style="3" customWidth="1"/>
    <col min="2571" max="2571" width="8.140625" style="3" bestFit="1" customWidth="1"/>
    <col min="2572" max="2572" width="11.28515625" style="3" bestFit="1" customWidth="1"/>
    <col min="2573" max="2573" width="14.28515625" style="3" customWidth="1"/>
    <col min="2574" max="2574" width="79.42578125" style="3" customWidth="1"/>
    <col min="2575" max="2814" width="9.140625" style="3"/>
    <col min="2815" max="2815" width="9.28515625" style="3" customWidth="1"/>
    <col min="2816" max="2818" width="5.28515625" style="3" customWidth="1"/>
    <col min="2819" max="2819" width="7.7109375" style="3" bestFit="1" customWidth="1"/>
    <col min="2820" max="2820" width="7.7109375" style="3" customWidth="1"/>
    <col min="2821" max="2821" width="9.28515625" style="3" customWidth="1"/>
    <col min="2822" max="2822" width="6.85546875" style="3" customWidth="1"/>
    <col min="2823" max="2823" width="5.28515625" style="3" customWidth="1"/>
    <col min="2824" max="2824" width="5.7109375" style="3" customWidth="1"/>
    <col min="2825" max="2825" width="6.140625" style="3" customWidth="1"/>
    <col min="2826" max="2826" width="7.7109375" style="3" customWidth="1"/>
    <col min="2827" max="2827" width="8.140625" style="3" bestFit="1" customWidth="1"/>
    <col min="2828" max="2828" width="11.28515625" style="3" bestFit="1" customWidth="1"/>
    <col min="2829" max="2829" width="14.28515625" style="3" customWidth="1"/>
    <col min="2830" max="2830" width="79.42578125" style="3" customWidth="1"/>
    <col min="2831" max="3070" width="9.140625" style="3"/>
    <col min="3071" max="3071" width="9.28515625" style="3" customWidth="1"/>
    <col min="3072" max="3074" width="5.28515625" style="3" customWidth="1"/>
    <col min="3075" max="3075" width="7.7109375" style="3" bestFit="1" customWidth="1"/>
    <col min="3076" max="3076" width="7.7109375" style="3" customWidth="1"/>
    <col min="3077" max="3077" width="9.28515625" style="3" customWidth="1"/>
    <col min="3078" max="3078" width="6.85546875" style="3" customWidth="1"/>
    <col min="3079" max="3079" width="5.28515625" style="3" customWidth="1"/>
    <col min="3080" max="3080" width="5.7109375" style="3" customWidth="1"/>
    <col min="3081" max="3081" width="6.140625" style="3" customWidth="1"/>
    <col min="3082" max="3082" width="7.7109375" style="3" customWidth="1"/>
    <col min="3083" max="3083" width="8.140625" style="3" bestFit="1" customWidth="1"/>
    <col min="3084" max="3084" width="11.28515625" style="3" bestFit="1" customWidth="1"/>
    <col min="3085" max="3085" width="14.28515625" style="3" customWidth="1"/>
    <col min="3086" max="3086" width="79.42578125" style="3" customWidth="1"/>
    <col min="3087" max="3326" width="9.140625" style="3"/>
    <col min="3327" max="3327" width="9.28515625" style="3" customWidth="1"/>
    <col min="3328" max="3330" width="5.28515625" style="3" customWidth="1"/>
    <col min="3331" max="3331" width="7.7109375" style="3" bestFit="1" customWidth="1"/>
    <col min="3332" max="3332" width="7.7109375" style="3" customWidth="1"/>
    <col min="3333" max="3333" width="9.28515625" style="3" customWidth="1"/>
    <col min="3334" max="3334" width="6.85546875" style="3" customWidth="1"/>
    <col min="3335" max="3335" width="5.28515625" style="3" customWidth="1"/>
    <col min="3336" max="3336" width="5.7109375" style="3" customWidth="1"/>
    <col min="3337" max="3337" width="6.140625" style="3" customWidth="1"/>
    <col min="3338" max="3338" width="7.7109375" style="3" customWidth="1"/>
    <col min="3339" max="3339" width="8.140625" style="3" bestFit="1" customWidth="1"/>
    <col min="3340" max="3340" width="11.28515625" style="3" bestFit="1" customWidth="1"/>
    <col min="3341" max="3341" width="14.28515625" style="3" customWidth="1"/>
    <col min="3342" max="3342" width="79.42578125" style="3" customWidth="1"/>
    <col min="3343" max="3582" width="9.140625" style="3"/>
    <col min="3583" max="3583" width="9.28515625" style="3" customWidth="1"/>
    <col min="3584" max="3586" width="5.28515625" style="3" customWidth="1"/>
    <col min="3587" max="3587" width="7.7109375" style="3" bestFit="1" customWidth="1"/>
    <col min="3588" max="3588" width="7.7109375" style="3" customWidth="1"/>
    <col min="3589" max="3589" width="9.28515625" style="3" customWidth="1"/>
    <col min="3590" max="3590" width="6.85546875" style="3" customWidth="1"/>
    <col min="3591" max="3591" width="5.28515625" style="3" customWidth="1"/>
    <col min="3592" max="3592" width="5.7109375" style="3" customWidth="1"/>
    <col min="3593" max="3593" width="6.140625" style="3" customWidth="1"/>
    <col min="3594" max="3594" width="7.7109375" style="3" customWidth="1"/>
    <col min="3595" max="3595" width="8.140625" style="3" bestFit="1" customWidth="1"/>
    <col min="3596" max="3596" width="11.28515625" style="3" bestFit="1" customWidth="1"/>
    <col min="3597" max="3597" width="14.28515625" style="3" customWidth="1"/>
    <col min="3598" max="3598" width="79.42578125" style="3" customWidth="1"/>
    <col min="3599" max="3838" width="9.140625" style="3"/>
    <col min="3839" max="3839" width="9.28515625" style="3" customWidth="1"/>
    <col min="3840" max="3842" width="5.28515625" style="3" customWidth="1"/>
    <col min="3843" max="3843" width="7.7109375" style="3" bestFit="1" customWidth="1"/>
    <col min="3844" max="3844" width="7.7109375" style="3" customWidth="1"/>
    <col min="3845" max="3845" width="9.28515625" style="3" customWidth="1"/>
    <col min="3846" max="3846" width="6.85546875" style="3" customWidth="1"/>
    <col min="3847" max="3847" width="5.28515625" style="3" customWidth="1"/>
    <col min="3848" max="3848" width="5.7109375" style="3" customWidth="1"/>
    <col min="3849" max="3849" width="6.140625" style="3" customWidth="1"/>
    <col min="3850" max="3850" width="7.7109375" style="3" customWidth="1"/>
    <col min="3851" max="3851" width="8.140625" style="3" bestFit="1" customWidth="1"/>
    <col min="3852" max="3852" width="11.28515625" style="3" bestFit="1" customWidth="1"/>
    <col min="3853" max="3853" width="14.28515625" style="3" customWidth="1"/>
    <col min="3854" max="3854" width="79.42578125" style="3" customWidth="1"/>
    <col min="3855" max="4094" width="9.140625" style="3"/>
    <col min="4095" max="4095" width="9.28515625" style="3" customWidth="1"/>
    <col min="4096" max="4098" width="5.28515625" style="3" customWidth="1"/>
    <col min="4099" max="4099" width="7.7109375" style="3" bestFit="1" customWidth="1"/>
    <col min="4100" max="4100" width="7.7109375" style="3" customWidth="1"/>
    <col min="4101" max="4101" width="9.28515625" style="3" customWidth="1"/>
    <col min="4102" max="4102" width="6.85546875" style="3" customWidth="1"/>
    <col min="4103" max="4103" width="5.28515625" style="3" customWidth="1"/>
    <col min="4104" max="4104" width="5.7109375" style="3" customWidth="1"/>
    <col min="4105" max="4105" width="6.140625" style="3" customWidth="1"/>
    <col min="4106" max="4106" width="7.7109375" style="3" customWidth="1"/>
    <col min="4107" max="4107" width="8.140625" style="3" bestFit="1" customWidth="1"/>
    <col min="4108" max="4108" width="11.28515625" style="3" bestFit="1" customWidth="1"/>
    <col min="4109" max="4109" width="14.28515625" style="3" customWidth="1"/>
    <col min="4110" max="4110" width="79.42578125" style="3" customWidth="1"/>
    <col min="4111" max="4350" width="9.140625" style="3"/>
    <col min="4351" max="4351" width="9.28515625" style="3" customWidth="1"/>
    <col min="4352" max="4354" width="5.28515625" style="3" customWidth="1"/>
    <col min="4355" max="4355" width="7.7109375" style="3" bestFit="1" customWidth="1"/>
    <col min="4356" max="4356" width="7.7109375" style="3" customWidth="1"/>
    <col min="4357" max="4357" width="9.28515625" style="3" customWidth="1"/>
    <col min="4358" max="4358" width="6.85546875" style="3" customWidth="1"/>
    <col min="4359" max="4359" width="5.28515625" style="3" customWidth="1"/>
    <col min="4360" max="4360" width="5.7109375" style="3" customWidth="1"/>
    <col min="4361" max="4361" width="6.140625" style="3" customWidth="1"/>
    <col min="4362" max="4362" width="7.7109375" style="3" customWidth="1"/>
    <col min="4363" max="4363" width="8.140625" style="3" bestFit="1" customWidth="1"/>
    <col min="4364" max="4364" width="11.28515625" style="3" bestFit="1" customWidth="1"/>
    <col min="4365" max="4365" width="14.28515625" style="3" customWidth="1"/>
    <col min="4366" max="4366" width="79.42578125" style="3" customWidth="1"/>
    <col min="4367" max="4606" width="9.140625" style="3"/>
    <col min="4607" max="4607" width="9.28515625" style="3" customWidth="1"/>
    <col min="4608" max="4610" width="5.28515625" style="3" customWidth="1"/>
    <col min="4611" max="4611" width="7.7109375" style="3" bestFit="1" customWidth="1"/>
    <col min="4612" max="4612" width="7.7109375" style="3" customWidth="1"/>
    <col min="4613" max="4613" width="9.28515625" style="3" customWidth="1"/>
    <col min="4614" max="4614" width="6.85546875" style="3" customWidth="1"/>
    <col min="4615" max="4615" width="5.28515625" style="3" customWidth="1"/>
    <col min="4616" max="4616" width="5.7109375" style="3" customWidth="1"/>
    <col min="4617" max="4617" width="6.140625" style="3" customWidth="1"/>
    <col min="4618" max="4618" width="7.7109375" style="3" customWidth="1"/>
    <col min="4619" max="4619" width="8.140625" style="3" bestFit="1" customWidth="1"/>
    <col min="4620" max="4620" width="11.28515625" style="3" bestFit="1" customWidth="1"/>
    <col min="4621" max="4621" width="14.28515625" style="3" customWidth="1"/>
    <col min="4622" max="4622" width="79.42578125" style="3" customWidth="1"/>
    <col min="4623" max="4862" width="9.140625" style="3"/>
    <col min="4863" max="4863" width="9.28515625" style="3" customWidth="1"/>
    <col min="4864" max="4866" width="5.28515625" style="3" customWidth="1"/>
    <col min="4867" max="4867" width="7.7109375" style="3" bestFit="1" customWidth="1"/>
    <col min="4868" max="4868" width="7.7109375" style="3" customWidth="1"/>
    <col min="4869" max="4869" width="9.28515625" style="3" customWidth="1"/>
    <col min="4870" max="4870" width="6.85546875" style="3" customWidth="1"/>
    <col min="4871" max="4871" width="5.28515625" style="3" customWidth="1"/>
    <col min="4872" max="4872" width="5.7109375" style="3" customWidth="1"/>
    <col min="4873" max="4873" width="6.140625" style="3" customWidth="1"/>
    <col min="4874" max="4874" width="7.7109375" style="3" customWidth="1"/>
    <col min="4875" max="4875" width="8.140625" style="3" bestFit="1" customWidth="1"/>
    <col min="4876" max="4876" width="11.28515625" style="3" bestFit="1" customWidth="1"/>
    <col min="4877" max="4877" width="14.28515625" style="3" customWidth="1"/>
    <col min="4878" max="4878" width="79.42578125" style="3" customWidth="1"/>
    <col min="4879" max="5118" width="9.140625" style="3"/>
    <col min="5119" max="5119" width="9.28515625" style="3" customWidth="1"/>
    <col min="5120" max="5122" width="5.28515625" style="3" customWidth="1"/>
    <col min="5123" max="5123" width="7.7109375" style="3" bestFit="1" customWidth="1"/>
    <col min="5124" max="5124" width="7.7109375" style="3" customWidth="1"/>
    <col min="5125" max="5125" width="9.28515625" style="3" customWidth="1"/>
    <col min="5126" max="5126" width="6.85546875" style="3" customWidth="1"/>
    <col min="5127" max="5127" width="5.28515625" style="3" customWidth="1"/>
    <col min="5128" max="5128" width="5.7109375" style="3" customWidth="1"/>
    <col min="5129" max="5129" width="6.140625" style="3" customWidth="1"/>
    <col min="5130" max="5130" width="7.7109375" style="3" customWidth="1"/>
    <col min="5131" max="5131" width="8.140625" style="3" bestFit="1" customWidth="1"/>
    <col min="5132" max="5132" width="11.28515625" style="3" bestFit="1" customWidth="1"/>
    <col min="5133" max="5133" width="14.28515625" style="3" customWidth="1"/>
    <col min="5134" max="5134" width="79.42578125" style="3" customWidth="1"/>
    <col min="5135" max="5374" width="9.140625" style="3"/>
    <col min="5375" max="5375" width="9.28515625" style="3" customWidth="1"/>
    <col min="5376" max="5378" width="5.28515625" style="3" customWidth="1"/>
    <col min="5379" max="5379" width="7.7109375" style="3" bestFit="1" customWidth="1"/>
    <col min="5380" max="5380" width="7.7109375" style="3" customWidth="1"/>
    <col min="5381" max="5381" width="9.28515625" style="3" customWidth="1"/>
    <col min="5382" max="5382" width="6.85546875" style="3" customWidth="1"/>
    <col min="5383" max="5383" width="5.28515625" style="3" customWidth="1"/>
    <col min="5384" max="5384" width="5.7109375" style="3" customWidth="1"/>
    <col min="5385" max="5385" width="6.140625" style="3" customWidth="1"/>
    <col min="5386" max="5386" width="7.7109375" style="3" customWidth="1"/>
    <col min="5387" max="5387" width="8.140625" style="3" bestFit="1" customWidth="1"/>
    <col min="5388" max="5388" width="11.28515625" style="3" bestFit="1" customWidth="1"/>
    <col min="5389" max="5389" width="14.28515625" style="3" customWidth="1"/>
    <col min="5390" max="5390" width="79.42578125" style="3" customWidth="1"/>
    <col min="5391" max="5630" width="9.140625" style="3"/>
    <col min="5631" max="5631" width="9.28515625" style="3" customWidth="1"/>
    <col min="5632" max="5634" width="5.28515625" style="3" customWidth="1"/>
    <col min="5635" max="5635" width="7.7109375" style="3" bestFit="1" customWidth="1"/>
    <col min="5636" max="5636" width="7.7109375" style="3" customWidth="1"/>
    <col min="5637" max="5637" width="9.28515625" style="3" customWidth="1"/>
    <col min="5638" max="5638" width="6.85546875" style="3" customWidth="1"/>
    <col min="5639" max="5639" width="5.28515625" style="3" customWidth="1"/>
    <col min="5640" max="5640" width="5.7109375" style="3" customWidth="1"/>
    <col min="5641" max="5641" width="6.140625" style="3" customWidth="1"/>
    <col min="5642" max="5642" width="7.7109375" style="3" customWidth="1"/>
    <col min="5643" max="5643" width="8.140625" style="3" bestFit="1" customWidth="1"/>
    <col min="5644" max="5644" width="11.28515625" style="3" bestFit="1" customWidth="1"/>
    <col min="5645" max="5645" width="14.28515625" style="3" customWidth="1"/>
    <col min="5646" max="5646" width="79.42578125" style="3" customWidth="1"/>
    <col min="5647" max="5886" width="9.140625" style="3"/>
    <col min="5887" max="5887" width="9.28515625" style="3" customWidth="1"/>
    <col min="5888" max="5890" width="5.28515625" style="3" customWidth="1"/>
    <col min="5891" max="5891" width="7.7109375" style="3" bestFit="1" customWidth="1"/>
    <col min="5892" max="5892" width="7.7109375" style="3" customWidth="1"/>
    <col min="5893" max="5893" width="9.28515625" style="3" customWidth="1"/>
    <col min="5894" max="5894" width="6.85546875" style="3" customWidth="1"/>
    <col min="5895" max="5895" width="5.28515625" style="3" customWidth="1"/>
    <col min="5896" max="5896" width="5.7109375" style="3" customWidth="1"/>
    <col min="5897" max="5897" width="6.140625" style="3" customWidth="1"/>
    <col min="5898" max="5898" width="7.7109375" style="3" customWidth="1"/>
    <col min="5899" max="5899" width="8.140625" style="3" bestFit="1" customWidth="1"/>
    <col min="5900" max="5900" width="11.28515625" style="3" bestFit="1" customWidth="1"/>
    <col min="5901" max="5901" width="14.28515625" style="3" customWidth="1"/>
    <col min="5902" max="5902" width="79.42578125" style="3" customWidth="1"/>
    <col min="5903" max="6142" width="9.140625" style="3"/>
    <col min="6143" max="6143" width="9.28515625" style="3" customWidth="1"/>
    <col min="6144" max="6146" width="5.28515625" style="3" customWidth="1"/>
    <col min="6147" max="6147" width="7.7109375" style="3" bestFit="1" customWidth="1"/>
    <col min="6148" max="6148" width="7.7109375" style="3" customWidth="1"/>
    <col min="6149" max="6149" width="9.28515625" style="3" customWidth="1"/>
    <col min="6150" max="6150" width="6.85546875" style="3" customWidth="1"/>
    <col min="6151" max="6151" width="5.28515625" style="3" customWidth="1"/>
    <col min="6152" max="6152" width="5.7109375" style="3" customWidth="1"/>
    <col min="6153" max="6153" width="6.140625" style="3" customWidth="1"/>
    <col min="6154" max="6154" width="7.7109375" style="3" customWidth="1"/>
    <col min="6155" max="6155" width="8.140625" style="3" bestFit="1" customWidth="1"/>
    <col min="6156" max="6156" width="11.28515625" style="3" bestFit="1" customWidth="1"/>
    <col min="6157" max="6157" width="14.28515625" style="3" customWidth="1"/>
    <col min="6158" max="6158" width="79.42578125" style="3" customWidth="1"/>
    <col min="6159" max="6398" width="9.140625" style="3"/>
    <col min="6399" max="6399" width="9.28515625" style="3" customWidth="1"/>
    <col min="6400" max="6402" width="5.28515625" style="3" customWidth="1"/>
    <col min="6403" max="6403" width="7.7109375" style="3" bestFit="1" customWidth="1"/>
    <col min="6404" max="6404" width="7.7109375" style="3" customWidth="1"/>
    <col min="6405" max="6405" width="9.28515625" style="3" customWidth="1"/>
    <col min="6406" max="6406" width="6.85546875" style="3" customWidth="1"/>
    <col min="6407" max="6407" width="5.28515625" style="3" customWidth="1"/>
    <col min="6408" max="6408" width="5.7109375" style="3" customWidth="1"/>
    <col min="6409" max="6409" width="6.140625" style="3" customWidth="1"/>
    <col min="6410" max="6410" width="7.7109375" style="3" customWidth="1"/>
    <col min="6411" max="6411" width="8.140625" style="3" bestFit="1" customWidth="1"/>
    <col min="6412" max="6412" width="11.28515625" style="3" bestFit="1" customWidth="1"/>
    <col min="6413" max="6413" width="14.28515625" style="3" customWidth="1"/>
    <col min="6414" max="6414" width="79.42578125" style="3" customWidth="1"/>
    <col min="6415" max="6654" width="9.140625" style="3"/>
    <col min="6655" max="6655" width="9.28515625" style="3" customWidth="1"/>
    <col min="6656" max="6658" width="5.28515625" style="3" customWidth="1"/>
    <col min="6659" max="6659" width="7.7109375" style="3" bestFit="1" customWidth="1"/>
    <col min="6660" max="6660" width="7.7109375" style="3" customWidth="1"/>
    <col min="6661" max="6661" width="9.28515625" style="3" customWidth="1"/>
    <col min="6662" max="6662" width="6.85546875" style="3" customWidth="1"/>
    <col min="6663" max="6663" width="5.28515625" style="3" customWidth="1"/>
    <col min="6664" max="6664" width="5.7109375" style="3" customWidth="1"/>
    <col min="6665" max="6665" width="6.140625" style="3" customWidth="1"/>
    <col min="6666" max="6666" width="7.7109375" style="3" customWidth="1"/>
    <col min="6667" max="6667" width="8.140625" style="3" bestFit="1" customWidth="1"/>
    <col min="6668" max="6668" width="11.28515625" style="3" bestFit="1" customWidth="1"/>
    <col min="6669" max="6669" width="14.28515625" style="3" customWidth="1"/>
    <col min="6670" max="6670" width="79.42578125" style="3" customWidth="1"/>
    <col min="6671" max="6910" width="9.140625" style="3"/>
    <col min="6911" max="6911" width="9.28515625" style="3" customWidth="1"/>
    <col min="6912" max="6914" width="5.28515625" style="3" customWidth="1"/>
    <col min="6915" max="6915" width="7.7109375" style="3" bestFit="1" customWidth="1"/>
    <col min="6916" max="6916" width="7.7109375" style="3" customWidth="1"/>
    <col min="6917" max="6917" width="9.28515625" style="3" customWidth="1"/>
    <col min="6918" max="6918" width="6.85546875" style="3" customWidth="1"/>
    <col min="6919" max="6919" width="5.28515625" style="3" customWidth="1"/>
    <col min="6920" max="6920" width="5.7109375" style="3" customWidth="1"/>
    <col min="6921" max="6921" width="6.140625" style="3" customWidth="1"/>
    <col min="6922" max="6922" width="7.7109375" style="3" customWidth="1"/>
    <col min="6923" max="6923" width="8.140625" style="3" bestFit="1" customWidth="1"/>
    <col min="6924" max="6924" width="11.28515625" style="3" bestFit="1" customWidth="1"/>
    <col min="6925" max="6925" width="14.28515625" style="3" customWidth="1"/>
    <col min="6926" max="6926" width="79.42578125" style="3" customWidth="1"/>
    <col min="6927" max="7166" width="9.140625" style="3"/>
    <col min="7167" max="7167" width="9.28515625" style="3" customWidth="1"/>
    <col min="7168" max="7170" width="5.28515625" style="3" customWidth="1"/>
    <col min="7171" max="7171" width="7.7109375" style="3" bestFit="1" customWidth="1"/>
    <col min="7172" max="7172" width="7.7109375" style="3" customWidth="1"/>
    <col min="7173" max="7173" width="9.28515625" style="3" customWidth="1"/>
    <col min="7174" max="7174" width="6.85546875" style="3" customWidth="1"/>
    <col min="7175" max="7175" width="5.28515625" style="3" customWidth="1"/>
    <col min="7176" max="7176" width="5.7109375" style="3" customWidth="1"/>
    <col min="7177" max="7177" width="6.140625" style="3" customWidth="1"/>
    <col min="7178" max="7178" width="7.7109375" style="3" customWidth="1"/>
    <col min="7179" max="7179" width="8.140625" style="3" bestFit="1" customWidth="1"/>
    <col min="7180" max="7180" width="11.28515625" style="3" bestFit="1" customWidth="1"/>
    <col min="7181" max="7181" width="14.28515625" style="3" customWidth="1"/>
    <col min="7182" max="7182" width="79.42578125" style="3" customWidth="1"/>
    <col min="7183" max="7422" width="9.140625" style="3"/>
    <col min="7423" max="7423" width="9.28515625" style="3" customWidth="1"/>
    <col min="7424" max="7426" width="5.28515625" style="3" customWidth="1"/>
    <col min="7427" max="7427" width="7.7109375" style="3" bestFit="1" customWidth="1"/>
    <col min="7428" max="7428" width="7.7109375" style="3" customWidth="1"/>
    <col min="7429" max="7429" width="9.28515625" style="3" customWidth="1"/>
    <col min="7430" max="7430" width="6.85546875" style="3" customWidth="1"/>
    <col min="7431" max="7431" width="5.28515625" style="3" customWidth="1"/>
    <col min="7432" max="7432" width="5.7109375" style="3" customWidth="1"/>
    <col min="7433" max="7433" width="6.140625" style="3" customWidth="1"/>
    <col min="7434" max="7434" width="7.7109375" style="3" customWidth="1"/>
    <col min="7435" max="7435" width="8.140625" style="3" bestFit="1" customWidth="1"/>
    <col min="7436" max="7436" width="11.28515625" style="3" bestFit="1" customWidth="1"/>
    <col min="7437" max="7437" width="14.28515625" style="3" customWidth="1"/>
    <col min="7438" max="7438" width="79.42578125" style="3" customWidth="1"/>
    <col min="7439" max="7678" width="9.140625" style="3"/>
    <col min="7679" max="7679" width="9.28515625" style="3" customWidth="1"/>
    <col min="7680" max="7682" width="5.28515625" style="3" customWidth="1"/>
    <col min="7683" max="7683" width="7.7109375" style="3" bestFit="1" customWidth="1"/>
    <col min="7684" max="7684" width="7.7109375" style="3" customWidth="1"/>
    <col min="7685" max="7685" width="9.28515625" style="3" customWidth="1"/>
    <col min="7686" max="7686" width="6.85546875" style="3" customWidth="1"/>
    <col min="7687" max="7687" width="5.28515625" style="3" customWidth="1"/>
    <col min="7688" max="7688" width="5.7109375" style="3" customWidth="1"/>
    <col min="7689" max="7689" width="6.140625" style="3" customWidth="1"/>
    <col min="7690" max="7690" width="7.7109375" style="3" customWidth="1"/>
    <col min="7691" max="7691" width="8.140625" style="3" bestFit="1" customWidth="1"/>
    <col min="7692" max="7692" width="11.28515625" style="3" bestFit="1" customWidth="1"/>
    <col min="7693" max="7693" width="14.28515625" style="3" customWidth="1"/>
    <col min="7694" max="7694" width="79.42578125" style="3" customWidth="1"/>
    <col min="7695" max="7934" width="9.140625" style="3"/>
    <col min="7935" max="7935" width="9.28515625" style="3" customWidth="1"/>
    <col min="7936" max="7938" width="5.28515625" style="3" customWidth="1"/>
    <col min="7939" max="7939" width="7.7109375" style="3" bestFit="1" customWidth="1"/>
    <col min="7940" max="7940" width="7.7109375" style="3" customWidth="1"/>
    <col min="7941" max="7941" width="9.28515625" style="3" customWidth="1"/>
    <col min="7942" max="7942" width="6.85546875" style="3" customWidth="1"/>
    <col min="7943" max="7943" width="5.28515625" style="3" customWidth="1"/>
    <col min="7944" max="7944" width="5.7109375" style="3" customWidth="1"/>
    <col min="7945" max="7945" width="6.140625" style="3" customWidth="1"/>
    <col min="7946" max="7946" width="7.7109375" style="3" customWidth="1"/>
    <col min="7947" max="7947" width="8.140625" style="3" bestFit="1" customWidth="1"/>
    <col min="7948" max="7948" width="11.28515625" style="3" bestFit="1" customWidth="1"/>
    <col min="7949" max="7949" width="14.28515625" style="3" customWidth="1"/>
    <col min="7950" max="7950" width="79.42578125" style="3" customWidth="1"/>
    <col min="7951" max="8190" width="9.140625" style="3"/>
    <col min="8191" max="8191" width="9.28515625" style="3" customWidth="1"/>
    <col min="8192" max="8194" width="5.28515625" style="3" customWidth="1"/>
    <col min="8195" max="8195" width="7.7109375" style="3" bestFit="1" customWidth="1"/>
    <col min="8196" max="8196" width="7.7109375" style="3" customWidth="1"/>
    <col min="8197" max="8197" width="9.28515625" style="3" customWidth="1"/>
    <col min="8198" max="8198" width="6.85546875" style="3" customWidth="1"/>
    <col min="8199" max="8199" width="5.28515625" style="3" customWidth="1"/>
    <col min="8200" max="8200" width="5.7109375" style="3" customWidth="1"/>
    <col min="8201" max="8201" width="6.140625" style="3" customWidth="1"/>
    <col min="8202" max="8202" width="7.7109375" style="3" customWidth="1"/>
    <col min="8203" max="8203" width="8.140625" style="3" bestFit="1" customWidth="1"/>
    <col min="8204" max="8204" width="11.28515625" style="3" bestFit="1" customWidth="1"/>
    <col min="8205" max="8205" width="14.28515625" style="3" customWidth="1"/>
    <col min="8206" max="8206" width="79.42578125" style="3" customWidth="1"/>
    <col min="8207" max="8446" width="9.140625" style="3"/>
    <col min="8447" max="8447" width="9.28515625" style="3" customWidth="1"/>
    <col min="8448" max="8450" width="5.28515625" style="3" customWidth="1"/>
    <col min="8451" max="8451" width="7.7109375" style="3" bestFit="1" customWidth="1"/>
    <col min="8452" max="8452" width="7.7109375" style="3" customWidth="1"/>
    <col min="8453" max="8453" width="9.28515625" style="3" customWidth="1"/>
    <col min="8454" max="8454" width="6.85546875" style="3" customWidth="1"/>
    <col min="8455" max="8455" width="5.28515625" style="3" customWidth="1"/>
    <col min="8456" max="8456" width="5.7109375" style="3" customWidth="1"/>
    <col min="8457" max="8457" width="6.140625" style="3" customWidth="1"/>
    <col min="8458" max="8458" width="7.7109375" style="3" customWidth="1"/>
    <col min="8459" max="8459" width="8.140625" style="3" bestFit="1" customWidth="1"/>
    <col min="8460" max="8460" width="11.28515625" style="3" bestFit="1" customWidth="1"/>
    <col min="8461" max="8461" width="14.28515625" style="3" customWidth="1"/>
    <col min="8462" max="8462" width="79.42578125" style="3" customWidth="1"/>
    <col min="8463" max="8702" width="9.140625" style="3"/>
    <col min="8703" max="8703" width="9.28515625" style="3" customWidth="1"/>
    <col min="8704" max="8706" width="5.28515625" style="3" customWidth="1"/>
    <col min="8707" max="8707" width="7.7109375" style="3" bestFit="1" customWidth="1"/>
    <col min="8708" max="8708" width="7.7109375" style="3" customWidth="1"/>
    <col min="8709" max="8709" width="9.28515625" style="3" customWidth="1"/>
    <col min="8710" max="8710" width="6.85546875" style="3" customWidth="1"/>
    <col min="8711" max="8711" width="5.28515625" style="3" customWidth="1"/>
    <col min="8712" max="8712" width="5.7109375" style="3" customWidth="1"/>
    <col min="8713" max="8713" width="6.140625" style="3" customWidth="1"/>
    <col min="8714" max="8714" width="7.7109375" style="3" customWidth="1"/>
    <col min="8715" max="8715" width="8.140625" style="3" bestFit="1" customWidth="1"/>
    <col min="8716" max="8716" width="11.28515625" style="3" bestFit="1" customWidth="1"/>
    <col min="8717" max="8717" width="14.28515625" style="3" customWidth="1"/>
    <col min="8718" max="8718" width="79.42578125" style="3" customWidth="1"/>
    <col min="8719" max="8958" width="9.140625" style="3"/>
    <col min="8959" max="8959" width="9.28515625" style="3" customWidth="1"/>
    <col min="8960" max="8962" width="5.28515625" style="3" customWidth="1"/>
    <col min="8963" max="8963" width="7.7109375" style="3" bestFit="1" customWidth="1"/>
    <col min="8964" max="8964" width="7.7109375" style="3" customWidth="1"/>
    <col min="8965" max="8965" width="9.28515625" style="3" customWidth="1"/>
    <col min="8966" max="8966" width="6.85546875" style="3" customWidth="1"/>
    <col min="8967" max="8967" width="5.28515625" style="3" customWidth="1"/>
    <col min="8968" max="8968" width="5.7109375" style="3" customWidth="1"/>
    <col min="8969" max="8969" width="6.140625" style="3" customWidth="1"/>
    <col min="8970" max="8970" width="7.7109375" style="3" customWidth="1"/>
    <col min="8971" max="8971" width="8.140625" style="3" bestFit="1" customWidth="1"/>
    <col min="8972" max="8972" width="11.28515625" style="3" bestFit="1" customWidth="1"/>
    <col min="8973" max="8973" width="14.28515625" style="3" customWidth="1"/>
    <col min="8974" max="8974" width="79.42578125" style="3" customWidth="1"/>
    <col min="8975" max="9214" width="9.140625" style="3"/>
    <col min="9215" max="9215" width="9.28515625" style="3" customWidth="1"/>
    <col min="9216" max="9218" width="5.28515625" style="3" customWidth="1"/>
    <col min="9219" max="9219" width="7.7109375" style="3" bestFit="1" customWidth="1"/>
    <col min="9220" max="9220" width="7.7109375" style="3" customWidth="1"/>
    <col min="9221" max="9221" width="9.28515625" style="3" customWidth="1"/>
    <col min="9222" max="9222" width="6.85546875" style="3" customWidth="1"/>
    <col min="9223" max="9223" width="5.28515625" style="3" customWidth="1"/>
    <col min="9224" max="9224" width="5.7109375" style="3" customWidth="1"/>
    <col min="9225" max="9225" width="6.140625" style="3" customWidth="1"/>
    <col min="9226" max="9226" width="7.7109375" style="3" customWidth="1"/>
    <col min="9227" max="9227" width="8.140625" style="3" bestFit="1" customWidth="1"/>
    <col min="9228" max="9228" width="11.28515625" style="3" bestFit="1" customWidth="1"/>
    <col min="9229" max="9229" width="14.28515625" style="3" customWidth="1"/>
    <col min="9230" max="9230" width="79.42578125" style="3" customWidth="1"/>
    <col min="9231" max="9470" width="9.140625" style="3"/>
    <col min="9471" max="9471" width="9.28515625" style="3" customWidth="1"/>
    <col min="9472" max="9474" width="5.28515625" style="3" customWidth="1"/>
    <col min="9475" max="9475" width="7.7109375" style="3" bestFit="1" customWidth="1"/>
    <col min="9476" max="9476" width="7.7109375" style="3" customWidth="1"/>
    <col min="9477" max="9477" width="9.28515625" style="3" customWidth="1"/>
    <col min="9478" max="9478" width="6.85546875" style="3" customWidth="1"/>
    <col min="9479" max="9479" width="5.28515625" style="3" customWidth="1"/>
    <col min="9480" max="9480" width="5.7109375" style="3" customWidth="1"/>
    <col min="9481" max="9481" width="6.140625" style="3" customWidth="1"/>
    <col min="9482" max="9482" width="7.7109375" style="3" customWidth="1"/>
    <col min="9483" max="9483" width="8.140625" style="3" bestFit="1" customWidth="1"/>
    <col min="9484" max="9484" width="11.28515625" style="3" bestFit="1" customWidth="1"/>
    <col min="9485" max="9485" width="14.28515625" style="3" customWidth="1"/>
    <col min="9486" max="9486" width="79.42578125" style="3" customWidth="1"/>
    <col min="9487" max="9726" width="9.140625" style="3"/>
    <col min="9727" max="9727" width="9.28515625" style="3" customWidth="1"/>
    <col min="9728" max="9730" width="5.28515625" style="3" customWidth="1"/>
    <col min="9731" max="9731" width="7.7109375" style="3" bestFit="1" customWidth="1"/>
    <col min="9732" max="9732" width="7.7109375" style="3" customWidth="1"/>
    <col min="9733" max="9733" width="9.28515625" style="3" customWidth="1"/>
    <col min="9734" max="9734" width="6.85546875" style="3" customWidth="1"/>
    <col min="9735" max="9735" width="5.28515625" style="3" customWidth="1"/>
    <col min="9736" max="9736" width="5.7109375" style="3" customWidth="1"/>
    <col min="9737" max="9737" width="6.140625" style="3" customWidth="1"/>
    <col min="9738" max="9738" width="7.7109375" style="3" customWidth="1"/>
    <col min="9739" max="9739" width="8.140625" style="3" bestFit="1" customWidth="1"/>
    <col min="9740" max="9740" width="11.28515625" style="3" bestFit="1" customWidth="1"/>
    <col min="9741" max="9741" width="14.28515625" style="3" customWidth="1"/>
    <col min="9742" max="9742" width="79.42578125" style="3" customWidth="1"/>
    <col min="9743" max="9982" width="9.140625" style="3"/>
    <col min="9983" max="9983" width="9.28515625" style="3" customWidth="1"/>
    <col min="9984" max="9986" width="5.28515625" style="3" customWidth="1"/>
    <col min="9987" max="9987" width="7.7109375" style="3" bestFit="1" customWidth="1"/>
    <col min="9988" max="9988" width="7.7109375" style="3" customWidth="1"/>
    <col min="9989" max="9989" width="9.28515625" style="3" customWidth="1"/>
    <col min="9990" max="9990" width="6.85546875" style="3" customWidth="1"/>
    <col min="9991" max="9991" width="5.28515625" style="3" customWidth="1"/>
    <col min="9992" max="9992" width="5.7109375" style="3" customWidth="1"/>
    <col min="9993" max="9993" width="6.140625" style="3" customWidth="1"/>
    <col min="9994" max="9994" width="7.7109375" style="3" customWidth="1"/>
    <col min="9995" max="9995" width="8.140625" style="3" bestFit="1" customWidth="1"/>
    <col min="9996" max="9996" width="11.28515625" style="3" bestFit="1" customWidth="1"/>
    <col min="9997" max="9997" width="14.28515625" style="3" customWidth="1"/>
    <col min="9998" max="9998" width="79.42578125" style="3" customWidth="1"/>
    <col min="9999" max="10238" width="9.140625" style="3"/>
    <col min="10239" max="10239" width="9.28515625" style="3" customWidth="1"/>
    <col min="10240" max="10242" width="5.28515625" style="3" customWidth="1"/>
    <col min="10243" max="10243" width="7.7109375" style="3" bestFit="1" customWidth="1"/>
    <col min="10244" max="10244" width="7.7109375" style="3" customWidth="1"/>
    <col min="10245" max="10245" width="9.28515625" style="3" customWidth="1"/>
    <col min="10246" max="10246" width="6.85546875" style="3" customWidth="1"/>
    <col min="10247" max="10247" width="5.28515625" style="3" customWidth="1"/>
    <col min="10248" max="10248" width="5.7109375" style="3" customWidth="1"/>
    <col min="10249" max="10249" width="6.140625" style="3" customWidth="1"/>
    <col min="10250" max="10250" width="7.7109375" style="3" customWidth="1"/>
    <col min="10251" max="10251" width="8.140625" style="3" bestFit="1" customWidth="1"/>
    <col min="10252" max="10252" width="11.28515625" style="3" bestFit="1" customWidth="1"/>
    <col min="10253" max="10253" width="14.28515625" style="3" customWidth="1"/>
    <col min="10254" max="10254" width="79.42578125" style="3" customWidth="1"/>
    <col min="10255" max="10494" width="9.140625" style="3"/>
    <col min="10495" max="10495" width="9.28515625" style="3" customWidth="1"/>
    <col min="10496" max="10498" width="5.28515625" style="3" customWidth="1"/>
    <col min="10499" max="10499" width="7.7109375" style="3" bestFit="1" customWidth="1"/>
    <col min="10500" max="10500" width="7.7109375" style="3" customWidth="1"/>
    <col min="10501" max="10501" width="9.28515625" style="3" customWidth="1"/>
    <col min="10502" max="10502" width="6.85546875" style="3" customWidth="1"/>
    <col min="10503" max="10503" width="5.28515625" style="3" customWidth="1"/>
    <col min="10504" max="10504" width="5.7109375" style="3" customWidth="1"/>
    <col min="10505" max="10505" width="6.140625" style="3" customWidth="1"/>
    <col min="10506" max="10506" width="7.7109375" style="3" customWidth="1"/>
    <col min="10507" max="10507" width="8.140625" style="3" bestFit="1" customWidth="1"/>
    <col min="10508" max="10508" width="11.28515625" style="3" bestFit="1" customWidth="1"/>
    <col min="10509" max="10509" width="14.28515625" style="3" customWidth="1"/>
    <col min="10510" max="10510" width="79.42578125" style="3" customWidth="1"/>
    <col min="10511" max="10750" width="9.140625" style="3"/>
    <col min="10751" max="10751" width="9.28515625" style="3" customWidth="1"/>
    <col min="10752" max="10754" width="5.28515625" style="3" customWidth="1"/>
    <col min="10755" max="10755" width="7.7109375" style="3" bestFit="1" customWidth="1"/>
    <col min="10756" max="10756" width="7.7109375" style="3" customWidth="1"/>
    <col min="10757" max="10757" width="9.28515625" style="3" customWidth="1"/>
    <col min="10758" max="10758" width="6.85546875" style="3" customWidth="1"/>
    <col min="10759" max="10759" width="5.28515625" style="3" customWidth="1"/>
    <col min="10760" max="10760" width="5.7109375" style="3" customWidth="1"/>
    <col min="10761" max="10761" width="6.140625" style="3" customWidth="1"/>
    <col min="10762" max="10762" width="7.7109375" style="3" customWidth="1"/>
    <col min="10763" max="10763" width="8.140625" style="3" bestFit="1" customWidth="1"/>
    <col min="10764" max="10764" width="11.28515625" style="3" bestFit="1" customWidth="1"/>
    <col min="10765" max="10765" width="14.28515625" style="3" customWidth="1"/>
    <col min="10766" max="10766" width="79.42578125" style="3" customWidth="1"/>
    <col min="10767" max="11006" width="9.140625" style="3"/>
    <col min="11007" max="11007" width="9.28515625" style="3" customWidth="1"/>
    <col min="11008" max="11010" width="5.28515625" style="3" customWidth="1"/>
    <col min="11011" max="11011" width="7.7109375" style="3" bestFit="1" customWidth="1"/>
    <col min="11012" max="11012" width="7.7109375" style="3" customWidth="1"/>
    <col min="11013" max="11013" width="9.28515625" style="3" customWidth="1"/>
    <col min="11014" max="11014" width="6.85546875" style="3" customWidth="1"/>
    <col min="11015" max="11015" width="5.28515625" style="3" customWidth="1"/>
    <col min="11016" max="11016" width="5.7109375" style="3" customWidth="1"/>
    <col min="11017" max="11017" width="6.140625" style="3" customWidth="1"/>
    <col min="11018" max="11018" width="7.7109375" style="3" customWidth="1"/>
    <col min="11019" max="11019" width="8.140625" style="3" bestFit="1" customWidth="1"/>
    <col min="11020" max="11020" width="11.28515625" style="3" bestFit="1" customWidth="1"/>
    <col min="11021" max="11021" width="14.28515625" style="3" customWidth="1"/>
    <col min="11022" max="11022" width="79.42578125" style="3" customWidth="1"/>
    <col min="11023" max="11262" width="9.140625" style="3"/>
    <col min="11263" max="11263" width="9.28515625" style="3" customWidth="1"/>
    <col min="11264" max="11266" width="5.28515625" style="3" customWidth="1"/>
    <col min="11267" max="11267" width="7.7109375" style="3" bestFit="1" customWidth="1"/>
    <col min="11268" max="11268" width="7.7109375" style="3" customWidth="1"/>
    <col min="11269" max="11269" width="9.28515625" style="3" customWidth="1"/>
    <col min="11270" max="11270" width="6.85546875" style="3" customWidth="1"/>
    <col min="11271" max="11271" width="5.28515625" style="3" customWidth="1"/>
    <col min="11272" max="11272" width="5.7109375" style="3" customWidth="1"/>
    <col min="11273" max="11273" width="6.140625" style="3" customWidth="1"/>
    <col min="11274" max="11274" width="7.7109375" style="3" customWidth="1"/>
    <col min="11275" max="11275" width="8.140625" style="3" bestFit="1" customWidth="1"/>
    <col min="11276" max="11276" width="11.28515625" style="3" bestFit="1" customWidth="1"/>
    <col min="11277" max="11277" width="14.28515625" style="3" customWidth="1"/>
    <col min="11278" max="11278" width="79.42578125" style="3" customWidth="1"/>
    <col min="11279" max="11518" width="9.140625" style="3"/>
    <col min="11519" max="11519" width="9.28515625" style="3" customWidth="1"/>
    <col min="11520" max="11522" width="5.28515625" style="3" customWidth="1"/>
    <col min="11523" max="11523" width="7.7109375" style="3" bestFit="1" customWidth="1"/>
    <col min="11524" max="11524" width="7.7109375" style="3" customWidth="1"/>
    <col min="11525" max="11525" width="9.28515625" style="3" customWidth="1"/>
    <col min="11526" max="11526" width="6.85546875" style="3" customWidth="1"/>
    <col min="11527" max="11527" width="5.28515625" style="3" customWidth="1"/>
    <col min="11528" max="11528" width="5.7109375" style="3" customWidth="1"/>
    <col min="11529" max="11529" width="6.140625" style="3" customWidth="1"/>
    <col min="11530" max="11530" width="7.7109375" style="3" customWidth="1"/>
    <col min="11531" max="11531" width="8.140625" style="3" bestFit="1" customWidth="1"/>
    <col min="11532" max="11532" width="11.28515625" style="3" bestFit="1" customWidth="1"/>
    <col min="11533" max="11533" width="14.28515625" style="3" customWidth="1"/>
    <col min="11534" max="11534" width="79.42578125" style="3" customWidth="1"/>
    <col min="11535" max="11774" width="9.140625" style="3"/>
    <col min="11775" max="11775" width="9.28515625" style="3" customWidth="1"/>
    <col min="11776" max="11778" width="5.28515625" style="3" customWidth="1"/>
    <col min="11779" max="11779" width="7.7109375" style="3" bestFit="1" customWidth="1"/>
    <col min="11780" max="11780" width="7.7109375" style="3" customWidth="1"/>
    <col min="11781" max="11781" width="9.28515625" style="3" customWidth="1"/>
    <col min="11782" max="11782" width="6.85546875" style="3" customWidth="1"/>
    <col min="11783" max="11783" width="5.28515625" style="3" customWidth="1"/>
    <col min="11784" max="11784" width="5.7109375" style="3" customWidth="1"/>
    <col min="11785" max="11785" width="6.140625" style="3" customWidth="1"/>
    <col min="11786" max="11786" width="7.7109375" style="3" customWidth="1"/>
    <col min="11787" max="11787" width="8.140625" style="3" bestFit="1" customWidth="1"/>
    <col min="11788" max="11788" width="11.28515625" style="3" bestFit="1" customWidth="1"/>
    <col min="11789" max="11789" width="14.28515625" style="3" customWidth="1"/>
    <col min="11790" max="11790" width="79.42578125" style="3" customWidth="1"/>
    <col min="11791" max="12030" width="9.140625" style="3"/>
    <col min="12031" max="12031" width="9.28515625" style="3" customWidth="1"/>
    <col min="12032" max="12034" width="5.28515625" style="3" customWidth="1"/>
    <col min="12035" max="12035" width="7.7109375" style="3" bestFit="1" customWidth="1"/>
    <col min="12036" max="12036" width="7.7109375" style="3" customWidth="1"/>
    <col min="12037" max="12037" width="9.28515625" style="3" customWidth="1"/>
    <col min="12038" max="12038" width="6.85546875" style="3" customWidth="1"/>
    <col min="12039" max="12039" width="5.28515625" style="3" customWidth="1"/>
    <col min="12040" max="12040" width="5.7109375" style="3" customWidth="1"/>
    <col min="12041" max="12041" width="6.140625" style="3" customWidth="1"/>
    <col min="12042" max="12042" width="7.7109375" style="3" customWidth="1"/>
    <col min="12043" max="12043" width="8.140625" style="3" bestFit="1" customWidth="1"/>
    <col min="12044" max="12044" width="11.28515625" style="3" bestFit="1" customWidth="1"/>
    <col min="12045" max="12045" width="14.28515625" style="3" customWidth="1"/>
    <col min="12046" max="12046" width="79.42578125" style="3" customWidth="1"/>
    <col min="12047" max="12286" width="9.140625" style="3"/>
    <col min="12287" max="12287" width="9.28515625" style="3" customWidth="1"/>
    <col min="12288" max="12290" width="5.28515625" style="3" customWidth="1"/>
    <col min="12291" max="12291" width="7.7109375" style="3" bestFit="1" customWidth="1"/>
    <col min="12292" max="12292" width="7.7109375" style="3" customWidth="1"/>
    <col min="12293" max="12293" width="9.28515625" style="3" customWidth="1"/>
    <col min="12294" max="12294" width="6.85546875" style="3" customWidth="1"/>
    <col min="12295" max="12295" width="5.28515625" style="3" customWidth="1"/>
    <col min="12296" max="12296" width="5.7109375" style="3" customWidth="1"/>
    <col min="12297" max="12297" width="6.140625" style="3" customWidth="1"/>
    <col min="12298" max="12298" width="7.7109375" style="3" customWidth="1"/>
    <col min="12299" max="12299" width="8.140625" style="3" bestFit="1" customWidth="1"/>
    <col min="12300" max="12300" width="11.28515625" style="3" bestFit="1" customWidth="1"/>
    <col min="12301" max="12301" width="14.28515625" style="3" customWidth="1"/>
    <col min="12302" max="12302" width="79.42578125" style="3" customWidth="1"/>
    <col min="12303" max="12542" width="9.140625" style="3"/>
    <col min="12543" max="12543" width="9.28515625" style="3" customWidth="1"/>
    <col min="12544" max="12546" width="5.28515625" style="3" customWidth="1"/>
    <col min="12547" max="12547" width="7.7109375" style="3" bestFit="1" customWidth="1"/>
    <col min="12548" max="12548" width="7.7109375" style="3" customWidth="1"/>
    <col min="12549" max="12549" width="9.28515625" style="3" customWidth="1"/>
    <col min="12550" max="12550" width="6.85546875" style="3" customWidth="1"/>
    <col min="12551" max="12551" width="5.28515625" style="3" customWidth="1"/>
    <col min="12552" max="12552" width="5.7109375" style="3" customWidth="1"/>
    <col min="12553" max="12553" width="6.140625" style="3" customWidth="1"/>
    <col min="12554" max="12554" width="7.7109375" style="3" customWidth="1"/>
    <col min="12555" max="12555" width="8.140625" style="3" bestFit="1" customWidth="1"/>
    <col min="12556" max="12556" width="11.28515625" style="3" bestFit="1" customWidth="1"/>
    <col min="12557" max="12557" width="14.28515625" style="3" customWidth="1"/>
    <col min="12558" max="12558" width="79.42578125" style="3" customWidth="1"/>
    <col min="12559" max="12798" width="9.140625" style="3"/>
    <col min="12799" max="12799" width="9.28515625" style="3" customWidth="1"/>
    <col min="12800" max="12802" width="5.28515625" style="3" customWidth="1"/>
    <col min="12803" max="12803" width="7.7109375" style="3" bestFit="1" customWidth="1"/>
    <col min="12804" max="12804" width="7.7109375" style="3" customWidth="1"/>
    <col min="12805" max="12805" width="9.28515625" style="3" customWidth="1"/>
    <col min="12806" max="12806" width="6.85546875" style="3" customWidth="1"/>
    <col min="12807" max="12807" width="5.28515625" style="3" customWidth="1"/>
    <col min="12808" max="12808" width="5.7109375" style="3" customWidth="1"/>
    <col min="12809" max="12809" width="6.140625" style="3" customWidth="1"/>
    <col min="12810" max="12810" width="7.7109375" style="3" customWidth="1"/>
    <col min="12811" max="12811" width="8.140625" style="3" bestFit="1" customWidth="1"/>
    <col min="12812" max="12812" width="11.28515625" style="3" bestFit="1" customWidth="1"/>
    <col min="12813" max="12813" width="14.28515625" style="3" customWidth="1"/>
    <col min="12814" max="12814" width="79.42578125" style="3" customWidth="1"/>
    <col min="12815" max="13054" width="9.140625" style="3"/>
    <col min="13055" max="13055" width="9.28515625" style="3" customWidth="1"/>
    <col min="13056" max="13058" width="5.28515625" style="3" customWidth="1"/>
    <col min="13059" max="13059" width="7.7109375" style="3" bestFit="1" customWidth="1"/>
    <col min="13060" max="13060" width="7.7109375" style="3" customWidth="1"/>
    <col min="13061" max="13061" width="9.28515625" style="3" customWidth="1"/>
    <col min="13062" max="13062" width="6.85546875" style="3" customWidth="1"/>
    <col min="13063" max="13063" width="5.28515625" style="3" customWidth="1"/>
    <col min="13064" max="13064" width="5.7109375" style="3" customWidth="1"/>
    <col min="13065" max="13065" width="6.140625" style="3" customWidth="1"/>
    <col min="13066" max="13066" width="7.7109375" style="3" customWidth="1"/>
    <col min="13067" max="13067" width="8.140625" style="3" bestFit="1" customWidth="1"/>
    <col min="13068" max="13068" width="11.28515625" style="3" bestFit="1" customWidth="1"/>
    <col min="13069" max="13069" width="14.28515625" style="3" customWidth="1"/>
    <col min="13070" max="13070" width="79.42578125" style="3" customWidth="1"/>
    <col min="13071" max="13310" width="9.140625" style="3"/>
    <col min="13311" max="13311" width="9.28515625" style="3" customWidth="1"/>
    <col min="13312" max="13314" width="5.28515625" style="3" customWidth="1"/>
    <col min="13315" max="13315" width="7.7109375" style="3" bestFit="1" customWidth="1"/>
    <col min="13316" max="13316" width="7.7109375" style="3" customWidth="1"/>
    <col min="13317" max="13317" width="9.28515625" style="3" customWidth="1"/>
    <col min="13318" max="13318" width="6.85546875" style="3" customWidth="1"/>
    <col min="13319" max="13319" width="5.28515625" style="3" customWidth="1"/>
    <col min="13320" max="13320" width="5.7109375" style="3" customWidth="1"/>
    <col min="13321" max="13321" width="6.140625" style="3" customWidth="1"/>
    <col min="13322" max="13322" width="7.7109375" style="3" customWidth="1"/>
    <col min="13323" max="13323" width="8.140625" style="3" bestFit="1" customWidth="1"/>
    <col min="13324" max="13324" width="11.28515625" style="3" bestFit="1" customWidth="1"/>
    <col min="13325" max="13325" width="14.28515625" style="3" customWidth="1"/>
    <col min="13326" max="13326" width="79.42578125" style="3" customWidth="1"/>
    <col min="13327" max="13566" width="9.140625" style="3"/>
    <col min="13567" max="13567" width="9.28515625" style="3" customWidth="1"/>
    <col min="13568" max="13570" width="5.28515625" style="3" customWidth="1"/>
    <col min="13571" max="13571" width="7.7109375" style="3" bestFit="1" customWidth="1"/>
    <col min="13572" max="13572" width="7.7109375" style="3" customWidth="1"/>
    <col min="13573" max="13573" width="9.28515625" style="3" customWidth="1"/>
    <col min="13574" max="13574" width="6.85546875" style="3" customWidth="1"/>
    <col min="13575" max="13575" width="5.28515625" style="3" customWidth="1"/>
    <col min="13576" max="13576" width="5.7109375" style="3" customWidth="1"/>
    <col min="13577" max="13577" width="6.140625" style="3" customWidth="1"/>
    <col min="13578" max="13578" width="7.7109375" style="3" customWidth="1"/>
    <col min="13579" max="13579" width="8.140625" style="3" bestFit="1" customWidth="1"/>
    <col min="13580" max="13580" width="11.28515625" style="3" bestFit="1" customWidth="1"/>
    <col min="13581" max="13581" width="14.28515625" style="3" customWidth="1"/>
    <col min="13582" max="13582" width="79.42578125" style="3" customWidth="1"/>
    <col min="13583" max="13822" width="9.140625" style="3"/>
    <col min="13823" max="13823" width="9.28515625" style="3" customWidth="1"/>
    <col min="13824" max="13826" width="5.28515625" style="3" customWidth="1"/>
    <col min="13827" max="13827" width="7.7109375" style="3" bestFit="1" customWidth="1"/>
    <col min="13828" max="13828" width="7.7109375" style="3" customWidth="1"/>
    <col min="13829" max="13829" width="9.28515625" style="3" customWidth="1"/>
    <col min="13830" max="13830" width="6.85546875" style="3" customWidth="1"/>
    <col min="13831" max="13831" width="5.28515625" style="3" customWidth="1"/>
    <col min="13832" max="13832" width="5.7109375" style="3" customWidth="1"/>
    <col min="13833" max="13833" width="6.140625" style="3" customWidth="1"/>
    <col min="13834" max="13834" width="7.7109375" style="3" customWidth="1"/>
    <col min="13835" max="13835" width="8.140625" style="3" bestFit="1" customWidth="1"/>
    <col min="13836" max="13836" width="11.28515625" style="3" bestFit="1" customWidth="1"/>
    <col min="13837" max="13837" width="14.28515625" style="3" customWidth="1"/>
    <col min="13838" max="13838" width="79.42578125" style="3" customWidth="1"/>
    <col min="13839" max="14078" width="9.140625" style="3"/>
    <col min="14079" max="14079" width="9.28515625" style="3" customWidth="1"/>
    <col min="14080" max="14082" width="5.28515625" style="3" customWidth="1"/>
    <col min="14083" max="14083" width="7.7109375" style="3" bestFit="1" customWidth="1"/>
    <col min="14084" max="14084" width="7.7109375" style="3" customWidth="1"/>
    <col min="14085" max="14085" width="9.28515625" style="3" customWidth="1"/>
    <col min="14086" max="14086" width="6.85546875" style="3" customWidth="1"/>
    <col min="14087" max="14087" width="5.28515625" style="3" customWidth="1"/>
    <col min="14088" max="14088" width="5.7109375" style="3" customWidth="1"/>
    <col min="14089" max="14089" width="6.140625" style="3" customWidth="1"/>
    <col min="14090" max="14090" width="7.7109375" style="3" customWidth="1"/>
    <col min="14091" max="14091" width="8.140625" style="3" bestFit="1" customWidth="1"/>
    <col min="14092" max="14092" width="11.28515625" style="3" bestFit="1" customWidth="1"/>
    <col min="14093" max="14093" width="14.28515625" style="3" customWidth="1"/>
    <col min="14094" max="14094" width="79.42578125" style="3" customWidth="1"/>
    <col min="14095" max="14334" width="9.140625" style="3"/>
    <col min="14335" max="14335" width="9.28515625" style="3" customWidth="1"/>
    <col min="14336" max="14338" width="5.28515625" style="3" customWidth="1"/>
    <col min="14339" max="14339" width="7.7109375" style="3" bestFit="1" customWidth="1"/>
    <col min="14340" max="14340" width="7.7109375" style="3" customWidth="1"/>
    <col min="14341" max="14341" width="9.28515625" style="3" customWidth="1"/>
    <col min="14342" max="14342" width="6.85546875" style="3" customWidth="1"/>
    <col min="14343" max="14343" width="5.28515625" style="3" customWidth="1"/>
    <col min="14344" max="14344" width="5.7109375" style="3" customWidth="1"/>
    <col min="14345" max="14345" width="6.140625" style="3" customWidth="1"/>
    <col min="14346" max="14346" width="7.7109375" style="3" customWidth="1"/>
    <col min="14347" max="14347" width="8.140625" style="3" bestFit="1" customWidth="1"/>
    <col min="14348" max="14348" width="11.28515625" style="3" bestFit="1" customWidth="1"/>
    <col min="14349" max="14349" width="14.28515625" style="3" customWidth="1"/>
    <col min="14350" max="14350" width="79.42578125" style="3" customWidth="1"/>
    <col min="14351" max="14590" width="9.140625" style="3"/>
    <col min="14591" max="14591" width="9.28515625" style="3" customWidth="1"/>
    <col min="14592" max="14594" width="5.28515625" style="3" customWidth="1"/>
    <col min="14595" max="14595" width="7.7109375" style="3" bestFit="1" customWidth="1"/>
    <col min="14596" max="14596" width="7.7109375" style="3" customWidth="1"/>
    <col min="14597" max="14597" width="9.28515625" style="3" customWidth="1"/>
    <col min="14598" max="14598" width="6.85546875" style="3" customWidth="1"/>
    <col min="14599" max="14599" width="5.28515625" style="3" customWidth="1"/>
    <col min="14600" max="14600" width="5.7109375" style="3" customWidth="1"/>
    <col min="14601" max="14601" width="6.140625" style="3" customWidth="1"/>
    <col min="14602" max="14602" width="7.7109375" style="3" customWidth="1"/>
    <col min="14603" max="14603" width="8.140625" style="3" bestFit="1" customWidth="1"/>
    <col min="14604" max="14604" width="11.28515625" style="3" bestFit="1" customWidth="1"/>
    <col min="14605" max="14605" width="14.28515625" style="3" customWidth="1"/>
    <col min="14606" max="14606" width="79.42578125" style="3" customWidth="1"/>
    <col min="14607" max="14846" width="9.140625" style="3"/>
    <col min="14847" max="14847" width="9.28515625" style="3" customWidth="1"/>
    <col min="14848" max="14850" width="5.28515625" style="3" customWidth="1"/>
    <col min="14851" max="14851" width="7.7109375" style="3" bestFit="1" customWidth="1"/>
    <col min="14852" max="14852" width="7.7109375" style="3" customWidth="1"/>
    <col min="14853" max="14853" width="9.28515625" style="3" customWidth="1"/>
    <col min="14854" max="14854" width="6.85546875" style="3" customWidth="1"/>
    <col min="14855" max="14855" width="5.28515625" style="3" customWidth="1"/>
    <col min="14856" max="14856" width="5.7109375" style="3" customWidth="1"/>
    <col min="14857" max="14857" width="6.140625" style="3" customWidth="1"/>
    <col min="14858" max="14858" width="7.7109375" style="3" customWidth="1"/>
    <col min="14859" max="14859" width="8.140625" style="3" bestFit="1" customWidth="1"/>
    <col min="14860" max="14860" width="11.28515625" style="3" bestFit="1" customWidth="1"/>
    <col min="14861" max="14861" width="14.28515625" style="3" customWidth="1"/>
    <col min="14862" max="14862" width="79.42578125" style="3" customWidth="1"/>
    <col min="14863" max="15102" width="9.140625" style="3"/>
    <col min="15103" max="15103" width="9.28515625" style="3" customWidth="1"/>
    <col min="15104" max="15106" width="5.28515625" style="3" customWidth="1"/>
    <col min="15107" max="15107" width="7.7109375" style="3" bestFit="1" customWidth="1"/>
    <col min="15108" max="15108" width="7.7109375" style="3" customWidth="1"/>
    <col min="15109" max="15109" width="9.28515625" style="3" customWidth="1"/>
    <col min="15110" max="15110" width="6.85546875" style="3" customWidth="1"/>
    <col min="15111" max="15111" width="5.28515625" style="3" customWidth="1"/>
    <col min="15112" max="15112" width="5.7109375" style="3" customWidth="1"/>
    <col min="15113" max="15113" width="6.140625" style="3" customWidth="1"/>
    <col min="15114" max="15114" width="7.7109375" style="3" customWidth="1"/>
    <col min="15115" max="15115" width="8.140625" style="3" bestFit="1" customWidth="1"/>
    <col min="15116" max="15116" width="11.28515625" style="3" bestFit="1" customWidth="1"/>
    <col min="15117" max="15117" width="14.28515625" style="3" customWidth="1"/>
    <col min="15118" max="15118" width="79.42578125" style="3" customWidth="1"/>
    <col min="15119" max="15358" width="9.140625" style="3"/>
    <col min="15359" max="15359" width="9.28515625" style="3" customWidth="1"/>
    <col min="15360" max="15362" width="5.28515625" style="3" customWidth="1"/>
    <col min="15363" max="15363" width="7.7109375" style="3" bestFit="1" customWidth="1"/>
    <col min="15364" max="15364" width="7.7109375" style="3" customWidth="1"/>
    <col min="15365" max="15365" width="9.28515625" style="3" customWidth="1"/>
    <col min="15366" max="15366" width="6.85546875" style="3" customWidth="1"/>
    <col min="15367" max="15367" width="5.28515625" style="3" customWidth="1"/>
    <col min="15368" max="15368" width="5.7109375" style="3" customWidth="1"/>
    <col min="15369" max="15369" width="6.140625" style="3" customWidth="1"/>
    <col min="15370" max="15370" width="7.7109375" style="3" customWidth="1"/>
    <col min="15371" max="15371" width="8.140625" style="3" bestFit="1" customWidth="1"/>
    <col min="15372" max="15372" width="11.28515625" style="3" bestFit="1" customWidth="1"/>
    <col min="15373" max="15373" width="14.28515625" style="3" customWidth="1"/>
    <col min="15374" max="15374" width="79.42578125" style="3" customWidth="1"/>
    <col min="15375" max="15614" width="9.140625" style="3"/>
    <col min="15615" max="15615" width="9.28515625" style="3" customWidth="1"/>
    <col min="15616" max="15618" width="5.28515625" style="3" customWidth="1"/>
    <col min="15619" max="15619" width="7.7109375" style="3" bestFit="1" customWidth="1"/>
    <col min="15620" max="15620" width="7.7109375" style="3" customWidth="1"/>
    <col min="15621" max="15621" width="9.28515625" style="3" customWidth="1"/>
    <col min="15622" max="15622" width="6.85546875" style="3" customWidth="1"/>
    <col min="15623" max="15623" width="5.28515625" style="3" customWidth="1"/>
    <col min="15624" max="15624" width="5.7109375" style="3" customWidth="1"/>
    <col min="15625" max="15625" width="6.140625" style="3" customWidth="1"/>
    <col min="15626" max="15626" width="7.7109375" style="3" customWidth="1"/>
    <col min="15627" max="15627" width="8.140625" style="3" bestFit="1" customWidth="1"/>
    <col min="15628" max="15628" width="11.28515625" style="3" bestFit="1" customWidth="1"/>
    <col min="15629" max="15629" width="14.28515625" style="3" customWidth="1"/>
    <col min="15630" max="15630" width="79.42578125" style="3" customWidth="1"/>
    <col min="15631" max="15870" width="9.140625" style="3"/>
    <col min="15871" max="15871" width="9.28515625" style="3" customWidth="1"/>
    <col min="15872" max="15874" width="5.28515625" style="3" customWidth="1"/>
    <col min="15875" max="15875" width="7.7109375" style="3" bestFit="1" customWidth="1"/>
    <col min="15876" max="15876" width="7.7109375" style="3" customWidth="1"/>
    <col min="15877" max="15877" width="9.28515625" style="3" customWidth="1"/>
    <col min="15878" max="15878" width="6.85546875" style="3" customWidth="1"/>
    <col min="15879" max="15879" width="5.28515625" style="3" customWidth="1"/>
    <col min="15880" max="15880" width="5.7109375" style="3" customWidth="1"/>
    <col min="15881" max="15881" width="6.140625" style="3" customWidth="1"/>
    <col min="15882" max="15882" width="7.7109375" style="3" customWidth="1"/>
    <col min="15883" max="15883" width="8.140625" style="3" bestFit="1" customWidth="1"/>
    <col min="15884" max="15884" width="11.28515625" style="3" bestFit="1" customWidth="1"/>
    <col min="15885" max="15885" width="14.28515625" style="3" customWidth="1"/>
    <col min="15886" max="15886" width="79.42578125" style="3" customWidth="1"/>
    <col min="15887" max="16126" width="9.140625" style="3"/>
    <col min="16127" max="16127" width="9.28515625" style="3" customWidth="1"/>
    <col min="16128" max="16130" width="5.28515625" style="3" customWidth="1"/>
    <col min="16131" max="16131" width="7.7109375" style="3" bestFit="1" customWidth="1"/>
    <col min="16132" max="16132" width="7.7109375" style="3" customWidth="1"/>
    <col min="16133" max="16133" width="9.28515625" style="3" customWidth="1"/>
    <col min="16134" max="16134" width="6.85546875" style="3" customWidth="1"/>
    <col min="16135" max="16135" width="5.28515625" style="3" customWidth="1"/>
    <col min="16136" max="16136" width="5.7109375" style="3" customWidth="1"/>
    <col min="16137" max="16137" width="6.140625" style="3" customWidth="1"/>
    <col min="16138" max="16138" width="7.7109375" style="3" customWidth="1"/>
    <col min="16139" max="16139" width="8.140625" style="3" bestFit="1" customWidth="1"/>
    <col min="16140" max="16140" width="11.28515625" style="3" bestFit="1" customWidth="1"/>
    <col min="16141" max="16141" width="14.28515625" style="3" customWidth="1"/>
    <col min="16142" max="16142" width="79.42578125" style="3" customWidth="1"/>
    <col min="16143" max="16384" width="9.140625" style="3"/>
  </cols>
  <sheetData>
    <row r="1" spans="1:22" ht="27.75" x14ac:dyDescent="0.45">
      <c r="A1" s="149"/>
      <c r="B1" s="149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1"/>
      <c r="P1" s="151"/>
      <c r="Q1" s="151"/>
      <c r="R1" s="151"/>
      <c r="S1" s="151"/>
      <c r="T1" s="151"/>
      <c r="U1" s="151"/>
      <c r="V1" s="151"/>
    </row>
    <row r="2" spans="1:22" ht="28.5" x14ac:dyDescent="0.3">
      <c r="A2" s="283" t="s">
        <v>41</v>
      </c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4"/>
      <c r="Q2" s="151"/>
      <c r="R2" s="151"/>
      <c r="S2" s="151"/>
      <c r="T2" s="151"/>
      <c r="U2" s="151"/>
      <c r="V2" s="151"/>
    </row>
    <row r="3" spans="1:22" ht="24.75" x14ac:dyDescent="0.3">
      <c r="A3" s="285" t="s">
        <v>240</v>
      </c>
      <c r="B3" s="285"/>
      <c r="C3" s="285"/>
      <c r="D3" s="285"/>
      <c r="E3" s="285"/>
      <c r="F3" s="285"/>
      <c r="G3" s="285"/>
      <c r="H3" s="286"/>
      <c r="I3" s="287" t="s">
        <v>110</v>
      </c>
      <c r="J3" s="287"/>
      <c r="K3" s="287"/>
      <c r="L3" s="287"/>
      <c r="M3" s="128"/>
      <c r="N3" s="128"/>
      <c r="O3" s="130"/>
      <c r="Q3" s="151"/>
      <c r="R3" s="151"/>
      <c r="S3" s="151"/>
      <c r="T3" s="151"/>
      <c r="U3" s="151"/>
      <c r="V3" s="151"/>
    </row>
    <row r="4" spans="1:22" ht="24.75" x14ac:dyDescent="0.3">
      <c r="A4" s="285" t="s">
        <v>242</v>
      </c>
      <c r="B4" s="285"/>
      <c r="C4" s="285"/>
      <c r="D4" s="285"/>
      <c r="E4" s="285"/>
      <c r="F4" s="285"/>
      <c r="G4" s="285"/>
      <c r="H4" s="286"/>
      <c r="I4" s="287" t="s">
        <v>164</v>
      </c>
      <c r="J4" s="287"/>
      <c r="K4" s="287"/>
      <c r="L4" s="287"/>
      <c r="M4" s="128"/>
      <c r="N4" s="128"/>
      <c r="O4" s="130"/>
      <c r="Q4" s="151"/>
      <c r="R4" s="151"/>
      <c r="S4" s="151"/>
      <c r="T4" s="151"/>
      <c r="U4" s="151"/>
      <c r="V4" s="151"/>
    </row>
    <row r="5" spans="1:22" ht="24.75" x14ac:dyDescent="0.3">
      <c r="A5" s="288" t="s">
        <v>241</v>
      </c>
      <c r="B5" s="288"/>
      <c r="C5" s="288"/>
      <c r="D5" s="288"/>
      <c r="E5" s="288"/>
      <c r="F5" s="288"/>
      <c r="G5" s="288"/>
      <c r="H5" s="289"/>
      <c r="I5" s="290" t="s">
        <v>38</v>
      </c>
      <c r="J5" s="290"/>
      <c r="K5" s="290"/>
      <c r="L5" s="290"/>
      <c r="M5" s="125"/>
      <c r="N5" s="125"/>
      <c r="O5" s="129"/>
      <c r="Q5" s="151"/>
      <c r="R5" s="151"/>
      <c r="S5" s="151"/>
      <c r="T5" s="151"/>
      <c r="U5" s="151"/>
      <c r="V5" s="151"/>
    </row>
    <row r="6" spans="1:22" ht="18.75" x14ac:dyDescent="0.3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51"/>
      <c r="R6" s="151"/>
      <c r="S6" s="151"/>
      <c r="T6" s="151"/>
      <c r="U6" s="151"/>
      <c r="V6" s="151"/>
    </row>
    <row r="7" spans="1:22" x14ac:dyDescent="0.3">
      <c r="A7" s="291" t="s">
        <v>43</v>
      </c>
      <c r="B7" s="263" t="s">
        <v>44</v>
      </c>
      <c r="C7" s="263"/>
      <c r="D7" s="263"/>
      <c r="E7" s="263"/>
      <c r="F7" s="263"/>
      <c r="G7" s="263"/>
      <c r="H7" s="263" t="s">
        <v>45</v>
      </c>
      <c r="I7" s="263"/>
      <c r="J7" s="263"/>
      <c r="K7" s="263"/>
      <c r="L7" s="263"/>
      <c r="M7" s="263"/>
      <c r="N7" s="60" t="s">
        <v>46</v>
      </c>
      <c r="O7" s="292" t="s">
        <v>47</v>
      </c>
      <c r="P7" s="263" t="s">
        <v>48</v>
      </c>
      <c r="Q7" s="252" t="s">
        <v>186</v>
      </c>
      <c r="R7" s="251" t="s">
        <v>211</v>
      </c>
      <c r="S7" s="251" t="s">
        <v>212</v>
      </c>
      <c r="T7" s="251" t="s">
        <v>213</v>
      </c>
      <c r="U7" s="251" t="s">
        <v>214</v>
      </c>
      <c r="V7" s="251" t="s">
        <v>187</v>
      </c>
    </row>
    <row r="8" spans="1:22" s="8" customFormat="1" x14ac:dyDescent="0.3">
      <c r="A8" s="291"/>
      <c r="B8" s="6">
        <v>1</v>
      </c>
      <c r="C8" s="6">
        <v>2</v>
      </c>
      <c r="D8" s="6">
        <v>3</v>
      </c>
      <c r="E8" s="6">
        <v>4</v>
      </c>
      <c r="F8" s="6" t="s">
        <v>49</v>
      </c>
      <c r="G8" s="6" t="s">
        <v>50</v>
      </c>
      <c r="H8" s="6">
        <v>1</v>
      </c>
      <c r="I8" s="6">
        <v>2</v>
      </c>
      <c r="J8" s="6">
        <v>3</v>
      </c>
      <c r="K8" s="6">
        <v>4</v>
      </c>
      <c r="L8" s="6" t="s">
        <v>49</v>
      </c>
      <c r="M8" s="6" t="s">
        <v>50</v>
      </c>
      <c r="N8" s="7" t="s">
        <v>51</v>
      </c>
      <c r="O8" s="292"/>
      <c r="P8" s="263"/>
      <c r="Q8" s="252"/>
      <c r="R8" s="251"/>
      <c r="S8" s="251"/>
      <c r="T8" s="251"/>
      <c r="U8" s="251"/>
      <c r="V8" s="251"/>
    </row>
    <row r="9" spans="1:22" ht="18" x14ac:dyDescent="0.35">
      <c r="A9" s="9" t="s">
        <v>14</v>
      </c>
      <c r="B9" s="23">
        <f>IF($I$4="Barat",IF($I$5="All",SUM(SUMIFS(Database!$G$4:$G$1048576,Database!$B$4:$B$1048576,$I$3,Database!$D$4:$D$1048576,{"JK2","MDN","TGR","PKB","PLB","BDL","PMS","PDG","BTM","BAC","JBI","PKP","BKL","LSE","PJT"},Database!$G$4:$G$1048576,"=1")),IF($I$5="Apotek",SUM(SUMIFS(Database!$G$4:$G$1048576,Database!$B$4:$B$1048576,$I$3,Database!$D$4:$D$1048576,{"JK2","MDN","TGR","PKB","PLB","BDL","PMS","PDG","BTM","BAC","JBI","PKP","BKL","LSE","PJT"},Database!$G$4:$G$1048576,"=1",Database!$F$4:$F$1048576,"Apotek")),IF($I$5="Rumah Sakit",SUM(SUMIFS(Database!$G$4:$G$1048576,Database!$B$4:$B$1048576,$I$3,Database!$D$4:$D$1048576,{"JK2","MDN","TGR","PKB","PLB","BDL","PMS","PDG","BTM","BAC","JBI","PKP","BKL","LSE","PJT"},Database!$G$4:$G$1048576,"=1",Database!$F$4:$F$1048576,"Rumah sakit")),IF($I$5="Subdis",SUM(SUMIFS(Database!$G$4:$G$1048576,Database!$B$4:$B$1048576,$I$3,Database!$D$4:$D$1048576,{"JK2","MDN","TGR","PKB","PLB","BDL","PMS","PDG","BTM","BAC","JBI","PKP","BKL","LSE","PJT"},Database!$G$4:$G$1048576,"=1",Database!$F$4:$F$1048576,"Subdis")),0)))),IF($I$4="Tengah",IF($I$5="All",SUM(SUMIFS(Database!$G$4:$G$1048576,Database!$B$4:$B$1048576,$I$3,Database!$D$4:$D$1048576,{"JK1","JK3","BDG","SMG","BGR","YOG","SLO","CRB","PWK","BKS","KDS","TGL","TSK","SKI","BD2"},Database!$G$4:$G$1048576,"=1")),IF($I$5="Apotek",SUM(SUMIFS(Database!$G$4:$G$1048576,Database!$B$4:$B$1048576,$I$3,Database!$D$4:$D$1048576,{"JK1","JK3","BDG","SMG","BGR","YOG","SLO","CRB","PWK","BKS","KDS","TGL","TSK","SKI","BD2"},Database!$G$4:$G$1048576,"=1",Database!$F$4:$F$1048576,"Apotek")),IF($I$5="Rumah Sakit",SUM(SUMIFS(Database!$G$4:$G$1048576,Database!$B$4:$B$1048576,$I$3,Database!$D$4:$D$1048576,{"JK1","JK3","BDG","SMG","BGR","YOG","SLO","CRB","PWK","BKS","KDS","TGL","TSK","SKI","BD2"},Database!$G$4:$G$1048576,"=1",Database!$F$4:$F$1048576,"Rumah sakit")),IF($I$5="Subdis",SUM(SUMIFS(Database!$G$4:$G$1048576,Database!$B$4:$B$1048576,$I$3,Database!$D$4:$D$1048576,{"JK1","JK3","BDG","SMG","BGR","YOG","SLO","CRB","PWK","BKS","KDS","TGL","TSK","SKI","BD2"},Database!$G$4:$G$1048576,"=1",Database!$F$4:$F$1048576,"Subdis")),0)))),IF($I$4="Timur",IF($I$5="All",SUM(SUMIFS(Database!$G$4:$G$1048576,Database!$B$4:$B$1048576,$I$3,Database!$D$4:$D$1048576,{"SB1","SB2","BMS","MKS","DPS","KDR","MLG","SMD","PTK","JBR","MNO","JPU","MTR","BPP","KPG","PLU"},Database!$G$4:$G$1048576,"=1")),IF($I$5="Apotek",SUM(SUMIFS(Database!$G$4:$G$1048576,Database!$B$4:$B$1048576,$I$3,Database!$D$4:$D$1048576,{"SB1","SB2","BMS","MKS","DPS","KDR","MLG","SMD","PTK","JBR","MNO","JPU","MTR","BPP","KPG","PLU"},Database!$G$4:$G$1048576,"=1",Database!$F$4:$F$1048576,"Apotek")),IF($I$5="Rumah Sakit",SUM(SUMIFS(Database!$G$4:$G$1048576,Database!$B$4:$B$1048576,$I$3,Database!$D$4:$D$1048576,{"SB1","SB2","BMS","MKS","DPS","KDR","MLG","SMD","PTK","JBR","MNO","JPU","MTR","BPP","KPG","PLU"},Database!$G$4:$G$1048576,"=1",Database!$F$4:$F$1048576,"Rumah sakit")),IF($I$5="Subdis",SUM(SUMIFS(Database!$G$4:$G$1048576,Database!$B$4:$B$1048576,$I$3,Database!$D$4:$D$1048576,{"SB1","SB2","BMS","MKS","DPS","KDR","MLG","SMD","PTK","JBR","MNO","JPU","MTR","BPP","KPG","PLU"},Database!$G$4:$G$1048576,"=1",Database!$F$4:$F$1048576,"Subdis")),0)))))))/$B$8</f>
        <v>0</v>
      </c>
      <c r="C9" s="23">
        <f>IF($I$4="Barat",IF($I$5="All",SUM(SUMIFS(Database!$G$4:$G$1048576,Database!$B$4:$B$1048576,$I$3,Database!$D$4:$D$1048576,{"JK2","MDN","TGR","PKB","PLB","BDL","PMS","PDG","BTM","BAC","JBI","PKP","BKL","LSE","PJT"},Database!$G$4:$G$1048576,"=2")),IF($I$5="Apotek",SUM(SUMIFS(Database!$G$4:$G$1048576,Database!$B$4:$B$1048576,$I$3,Database!$D$4:$D$1048576,{"JK2","MDN","TGR","PKB","PLB","BDL","PMS","PDG","BTM","BAC","JBI","PKP","BKL","LSE","PJT"},Database!$G$4:$G$1048576,"=2",Database!$F$4:$F$1048576,"Apotek")),IF($I$5="Rumah Sakit",SUM(SUMIFS(Database!$G$4:$G$1048576,Database!$B$4:$B$1048576,$I$3,Database!$D$4:$D$1048576,{"JK2","MDN","TGR","PKB","PLB","BDL","PMS","PDG","BTM","BAC","JBI","PKP","BKL","LSE","PJT"},Database!$G$4:$G$1048576,"=2",Database!$F$4:$F$1048576,"Rumah sakit")),IF($I$5="Subdis",SUM(SUMIFS(Database!$G$4:$G$1048576,Database!$B$4:$B$1048576,$I$3,Database!$D$4:$D$1048576,{"JK2","MDN","TGR","PKB","PLB","BDL","PMS","PDG","BTM","BAC","JBI","PKP","BKL","LSE","PJT"},Database!$G$4:$G$1048576,"=2",Database!$F$4:$F$1048576,"Subdis")),0)))),IF($I$4="Tengah",IF($I$5="All",SUM(SUMIFS(Database!$G$4:$G$1048576,Database!$B$4:$B$1048576,$I$3,Database!$D$4:$D$1048576,{"JK1","JK3","BDG","SMG","BGR","YOG","SLO","CRB","PWK","BKS","KDS","TGL","TSK","SKI","BD2"},Database!$G$4:$G$1048576,"=2")),IF($I$5="Apotek",SUM(SUMIFS(Database!$G$4:$G$1048576,Database!$B$4:$B$1048576,$I$3,Database!$D$4:$D$1048576,{"JK1","JK3","BDG","SMG","BGR","YOG","SLO","CRB","PWK","BKS","KDS","TGL","TSK","SKI","BD2"},Database!$G$4:$G$1048576,"=2",Database!$F$4:$F$1048576,"Apotek")),IF($I$5="Rumah Sakit",SUM(SUMIFS(Database!$G$4:$G$1048576,Database!$B$4:$B$1048576,$I$3,Database!$D$4:$D$1048576,{"JK1","JK3","BDG","SMG","BGR","YOG","SLO","CRB","PWK","BKS","KDS","TGL","TSK","SKI","BD2"},Database!$G$4:$G$1048576,"=2",Database!$F$4:$F$1048576,"Rumah sakit")),IF($I$5="Subdis",SUM(SUMIFS(Database!$G$4:$G$1048576,Database!$B$4:$B$1048576,$I$3,Database!$D$4:$D$1048576,{"JK1","JK3","BDG","SMG","BGR","YOG","SLO","CRB","PWK","BKS","KDS","TGL","TSK","SKI","BD2"},Database!$G$4:$G$1048576,"=2",Database!$F$4:$F$1048576,"Subdis")),0)))),IF($I$4="Timur",IF($I$5="All",SUM(SUMIFS(Database!$G$4:$G$1048576,Database!$B$4:$B$1048576,$I$3,Database!$D$4:$D$1048576,{"SB1","SB2","BMS","MKS","DPS","KDR","MLG","SMD","PTK","JBR","MNO","JPU","MTR","BPP","KPG","PLU"},Database!$G$4:$G$1048576,"=2")),IF($I$5="Apotek",SUM(SUMIFS(Database!$G$4:$G$1048576,Database!$B$4:$B$1048576,$I$3,Database!$D$4:$D$1048576,{"SB1","SB2","BMS","MKS","DPS","KDR","MLG","SMD","PTK","JBR","MNO","JPU","MTR","BPP","KPG","PLU"},Database!$G$4:$G$1048576,"=2",Database!$F$4:$F$1048576,"Apotek")),IF($I$5="Rumah Sakit",SUM(SUMIFS(Database!$G$4:$G$1048576,Database!$B$4:$B$1048576,$I$3,Database!$D$4:$D$1048576,{"SB1","SB2","BMS","MKS","DPS","KDR","MLG","SMD","PTK","JBR","MNO","JPU","MTR","BPP","KPG","PLU"},Database!$G$4:$G$1048576,"=2",Database!$F$4:$F$1048576,"Rumah sakit")),IF($I$5="Subdis",SUM(SUMIFS(Database!$G$4:$G$1048576,Database!$B$4:$B$1048576,$I$3,Database!$D$4:$D$1048576,{"SB1","SB2","BMS","MKS","DPS","KDR","MLG","SMD","PTK","JBR","MNO","JPU","MTR","BPP","KPG","PLU"},Database!$G$4:$G$1048576,"=2",Database!$F$4:$F$1048576,"Subdis")),0)))))))/$C$8</f>
        <v>0</v>
      </c>
      <c r="D9" s="23">
        <f>IF($I$4="Barat",IF($I$5="All",SUM(SUMIFS(Database!$G$4:$G$1048576,Database!$B$4:$B$1048576,$I$3,Database!$D$4:$D$1048576,{"JK2","MDN","TGR","PKB","PLB","BDL","PMS","PDG","BTM","BAC","JBI","PKP","BKL","LSE","PJT"},Database!$G$4:$G$1048576,"=3")),IF($I$5="Apotek",SUM(SUMIFS(Database!$G$4:$G$1048576,Database!$B$4:$B$1048576,$I$3,Database!$D$4:$D$1048576,{"JK2","MDN","TGR","PKB","PLB","BDL","PMS","PDG","BTM","BAC","JBI","PKP","BKL","LSE","PJT"},Database!$G$4:$G$1048576,"=3",Database!$F$4:$F$1048576,"Apotek")),IF($I$5="Rumah Sakit",SUM(SUMIFS(Database!$G$4:$G$1048576,Database!$B$4:$B$1048576,$I$3,Database!$D$4:$D$1048576,{"JK2","MDN","TGR","PKB","PLB","BDL","PMS","PDG","BTM","BAC","JBI","PKP","BKL","LSE","PJT"},Database!$G$4:$G$1048576,"=3",Database!$F$4:$F$1048576,"Rumah sakit")),IF($I$5="Subdis",SUM(SUMIFS(Database!$G$4:$G$1048576,Database!$B$4:$B$1048576,$I$3,Database!$D$4:$D$1048576,{"JK2","MDN","TGR","PKB","PLB","BDL","PMS","PDG","BTM","BAC","JBI","PKP","BKL","LSE","PJT"},Database!$G$4:$G$1048576,"=3",Database!$F$4:$F$1048576,"Subdis")),0)))),IF($I$4="Tengah",IF($I$5="All",SUM(SUMIFS(Database!$G$4:$G$1048576,Database!$B$4:$B$1048576,$I$3,Database!$D$4:$D$1048576,{"JK1","JK3","BDG","SMG","BGR","YOG","SLO","CRB","PWK","BKS","KDS","TGL","TSK","SKI","BD2"},Database!$G$4:$G$1048576,"=3")),IF($I$5="Apotek",SUM(SUMIFS(Database!$G$4:$G$1048576,Database!$B$4:$B$1048576,$I$3,Database!$D$4:$D$1048576,{"JK1","JK3","BDG","SMG","BGR","YOG","SLO","CRB","PWK","BKS","KDS","TGL","TSK","SKI","BD2"},Database!$G$4:$G$1048576,"=3",Database!$F$4:$F$1048576,"Apotek")),IF($I$5="Rumah Sakit",SUM(SUMIFS(Database!$G$4:$G$1048576,Database!$B$4:$B$1048576,$I$3,Database!$D$4:$D$1048576,{"JK1","JK3","BDG","SMG","BGR","YOG","SLO","CRB","PWK","BKS","KDS","TGL","TSK","SKI","BD2"},Database!$G$4:$G$1048576,"=3",Database!$F$4:$F$1048576,"Rumah sakit")),IF($I$5="Subdis",SUM(SUMIFS(Database!$G$4:$G$1048576,Database!$B$4:$B$1048576,$I$3,Database!$D$4:$D$1048576,{"JK1","JK3","BDG","SMG","BGR","YOG","SLO","CRB","PWK","BKS","KDS","TGL","TSK","SKI","BD2"},Database!$G$4:$G$1048576,"=3",Database!$F$4:$F$1048576,"Subdis")),0)))),IF($I$4="Timur",IF($I$5="All",SUM(SUMIFS(Database!$G$4:$G$1048576,Database!$B$4:$B$1048576,$I$3,Database!$D$4:$D$1048576,{"SB1","SB2","BMS","MKS","DPS","KDR","MLG","SMD","PTK","JBR","MNO","JPU","MTR","BPP","KPG","PLU"},Database!$G$4:$G$1048576,"=3")),IF($I$5="Apotek",SUM(SUMIFS(Database!$G$4:$G$1048576,Database!$B$4:$B$1048576,$I$3,Database!$D$4:$D$1048576,{"SB1","SB2","BMS","MKS","DPS","KDR","MLG","SMD","PTK","JBR","MNO","JPU","MTR","BPP","KPG","PLU"},Database!$G$4:$G$1048576,"=3",Database!$F$4:$F$1048576,"Apotek")),IF($I$5="Rumah Sakit",SUM(SUMIFS(Database!$G$4:$G$1048576,Database!$B$4:$B$1048576,$I$3,Database!$D$4:$D$1048576,{"SB1","SB2","BMS","MKS","DPS","KDR","MLG","SMD","PTK","JBR","MNO","JPU","MTR","BPP","KPG","PLU"},Database!$G$4:$G$1048576,"=3",Database!$F$4:$F$1048576,"Rumah sakit")),IF($I$5="Subdis",SUM(SUMIFS(Database!$G$4:$G$1048576,Database!$B$4:$B$1048576,$I$3,Database!$D$4:$D$1048576,{"SB1","SB2","BMS","MKS","DPS","KDR","MLG","SMD","PTK","JBR","MNO","JPU","MTR","BPP","KPG","PLU"},Database!$G$4:$G$1048576,"=3",Database!$F$4:$F$1048576,"Subdis")),0)))))))/$D$8</f>
        <v>0</v>
      </c>
      <c r="E9" s="23">
        <f>IF($I$4="Barat",IF($I$5="All",SUM(SUMIFS(Database!$G$4:$G$1048576,Database!$B$4:$B$1048576,$I$3,Database!$D$4:$D$1048576,{"JK2","MDN","TGR","PKB","PLB","BDL","PMS","PDG","BTM","BAC","JBI","PKP","BKL","LSE","PJT"},Database!$G$4:$G$1048576,"=4")),IF($I$5="Apotek",SUM(SUMIFS(Database!$G$4:$G$1048576,Database!$B$4:$B$1048576,$I$3,Database!$D$4:$D$1048576,{"JK2","MDN","TGR","PKB","PLB","BDL","PMS","PDG","BTM","BAC","JBI","PKP","BKL","LSE","PJT"},Database!$G$4:$G$1048576,"=4",Database!$F$4:$F$1048576,"Apotek")),IF($I$5="Rumah Sakit",SUM(SUMIFS(Database!$G$4:$G$1048576,Database!$B$4:$B$1048576,$I$3,Database!$D$4:$D$1048576,{"JK2","MDN","TGR","PKB","PLB","BDL","PMS","PDG","BTM","BAC","JBI","PKP","BKL","LSE","PJT"},Database!$G$4:$G$1048576,"=4",Database!$F$4:$F$1048576,"Rumah sakit")),IF($I$5="Subdis",SUM(SUMIFS(Database!$G$4:$G$1048576,Database!$B$4:$B$1048576,$I$3,Database!$D$4:$D$1048576,{"JK2","MDN","TGR","PKB","PLB","BDL","PMS","PDG","BTM","BAC","JBI","PKP","BKL","LSE","PJT"},Database!$G$4:$G$1048576,"=4",Database!$F$4:$F$1048576,"Subdis")),0)))),IF($I$4="Tengah",IF($I$5="All",SUM(SUMIFS(Database!$G$4:$G$1048576,Database!$B$4:$B$1048576,$I$3,Database!$D$4:$D$1048576,{"JK1","JK3","BDG","SMG","BGR","YOG","SLO","CRB","PWK","BKS","KDS","TGL","TSK","SKI","BD2"},Database!$G$4:$G$1048576,"=4")),IF($I$5="Apotek",SUM(SUMIFS(Database!$G$4:$G$1048576,Database!$B$4:$B$1048576,$I$3,Database!$D$4:$D$1048576,{"JK1","JK3","BDG","SMG","BGR","YOG","SLO","CRB","PWK","BKS","KDS","TGL","TSK","SKI","BD2"},Database!$G$4:$G$1048576,"=4",Database!$F$4:$F$1048576,"Apotek")),IF($I$5="Rumah Sakit",SUM(SUMIFS(Database!$G$4:$G$1048576,Database!$B$4:$B$1048576,$I$3,Database!$D$4:$D$1048576,{"JK1","JK3","BDG","SMG","BGR","YOG","SLO","CRB","PWK","BKS","KDS","TGL","TSK","SKI","BD2"},Database!$G$4:$G$1048576,"=4",Database!$F$4:$F$1048576,"Rumah sakit")),IF($I$5="Subdis",SUM(SUMIFS(Database!$G$4:$G$1048576,Database!$B$4:$B$1048576,$I$3,Database!$D$4:$D$1048576,{"JK1","JK3","BDG","SMG","BGR","YOG","SLO","CRB","PWK","BKS","KDS","TGL","TSK","SKI","BD2"},Database!$G$4:$G$1048576,"=4",Database!$F$4:$F$1048576,"Subdis")),0)))),IF($I$4="Timur",IF($I$5="All",SUM(SUMIFS(Database!$G$4:$G$1048576,Database!$B$4:$B$1048576,$I$3,Database!$D$4:$D$1048576,{"SB1","SB2","BMS","MKS","DPS","KDR","MLG","SMD","PTK","JBR","MNO","JPU","MTR","BPP","KPG","PLU"},Database!$G$4:$G$1048576,"=4")),IF($I$5="Apotek",SUM(SUMIFS(Database!$G$4:$G$1048576,Database!$B$4:$B$1048576,$I$3,Database!$D$4:$D$1048576,{"SB1","SB2","BMS","MKS","DPS","KDR","MLG","SMD","PTK","JBR","MNO","JPU","MTR","BPP","KPG","PLU"},Database!$G$4:$G$1048576,"=4",Database!$F$4:$F$1048576,"Apotek")),IF($I$5="Rumah Sakit",SUM(SUMIFS(Database!$G$4:$G$1048576,Database!$B$4:$B$1048576,$I$3,Database!$D$4:$D$1048576,{"SB1","SB2","BMS","MKS","DPS","KDR","MLG","SMD","PTK","JBR","MNO","JPU","MTR","BPP","KPG","PLU"},Database!$G$4:$G$1048576,"=4",Database!$F$4:$F$1048576,"Rumah sakit")),IF($I$5="Subdis",SUM(SUMIFS(Database!$G$4:$G$1048576,Database!$B$4:$B$1048576,$I$3,Database!$D$4:$D$1048576,{"SB1","SB2","BMS","MKS","DPS","KDR","MLG","SMD","PTK","JBR","MNO","JPU","MTR","BPP","KPG","PLU"},Database!$G$4:$G$1048576,"=4",Database!$F$4:$F$1048576,"Subdis")),0)))))))/$E$8</f>
        <v>0</v>
      </c>
      <c r="F9" s="9">
        <f>(B9*$B$8)+(C9*$C$8)+(D9*$D$8)+(E9*$E$8)</f>
        <v>0</v>
      </c>
      <c r="G9" s="10" t="e">
        <f>F9/(E9+D9+C9+B9)</f>
        <v>#DIV/0!</v>
      </c>
      <c r="H9" s="23">
        <f>IF($I$4="Barat",IF($I$5="All",SUM(SUMIFS(Database!$AH$4:$AH$1048576,Database!$AC$4:$AC$1048576,$I$3,Database!$AE$4:$AE$1048576,{"JK2","MDN","TGR","PKB","PLB","BDL","PMS","PDG","BTM","BAC","JBI","PKP","BKL","LSE","PJT"},Database!$AH$4:$AH$1048576,"=1")),IF($I$5="Apotek",SUM(SUMIFS(Database!$AH$4:$AH$1048576,Database!$AC$4:$AC$1048576,$I$3,Database!$AE$4:$AE$1048576,{"JK2","MDN","TGR","PKB","PLB","BDL","PMS","PDG","BTM","BAC","JBI","PKP","BKL","LSE","PJT"},Database!$AH$4:$AH$1048576,"=1",Database!$AG$4:$AG$1048576,"Apotek")),IF($I$5="Rumah Sakit",SUM(SUMIFS(Database!$AH$4:$AH$1048576,Database!$AC$4:$AC$1048576,$I$3,Database!$AE$4:$AE$1048576,{"JK2","MDN","TGR","PKB","PLB","BDL","PMS","PDG","BTM","BAC","JBI","PKP","BKL","LSE","PJT"},Database!$AH$4:$AH$1048576,"=1",Database!$AG$4:$AG$1048576,"Rumah sakit")),IF($I$5="Subdis",SUM(SUMIFS(Database!$AH$4:$AH$1048576,Database!$AC$4:$AC$1048576,$I$3,Database!$AE$4:$AE$1048576,{"JK2","MDN","TGR","PKB","PLB","BDL","PMS","PDG","BTM","BAC","JBI","PKP","BKL","LSE","PJT"},Database!$AH$4:$AH$1048576,"=1",Database!$AG$4:$AG$1048576,"Subdis")),0)))),IF($I$4="Tengah",IF($I$5="All",SUM(SUMIFS(Database!$AH$4:$AH$1048576,Database!$AC$4:$AC$1048576,$I$3,Database!$AE$4:$AE$1048576,{"JK1","JK3","BDG","SMG","BGR","YOG","SLO","CRB","PWK","BKS","KDS","TGL","TSK","SKI","BD2"},Database!$AH$4:$AH$1048576,"=1")),IF($I$5="Apotek",SUM(SUMIFS(Database!$AH$4:$AH$1048576,Database!$AC$4:$AC$1048576,$I$3,Database!$AE$4:$AE$1048576,{"JK1","JK3","BDG","SMG","BGR","YOG","SLO","CRB","PWK","BKS","KDS","TGL","TSK","SKI","BD2"},Database!$AH$4:$AH$1048576,"=1",Database!$AG$4:$AG$1048576,"Apotek")),IF($I$5="Rumah Sakit",SUM(SUMIFS(Database!$AH$4:$AH$1048576,Database!$AC$4:$AC$1048576,$I$3,Database!$AE$4:$AE$1048576,{"JK1","JK3","BDG","SMG","BGR","YOG","SLO","CRB","PWK","BKS","KDS","TGL","TSK","SKI","BD2"},Database!$AH$4:$AH$1048576,"=1",Database!$AG$4:$AG$1048576,"Rumah sakit")),IF($I$5="Subdis",SUM(SUMIFS(Database!$AH$4:$AH$1048576,Database!$AC$4:$AC$1048576,$I$3,Database!$AE$4:$AE$1048576,{"JK1","JK3","BDG","SMG","BGR","YOG","SLO","CRB","PWK","BKS","KDS","TGL","TSK","SKI","BD2"},Database!$AH$4:$AH$1048576,"=1",Database!$AG$4:$AG$1048576,"Subdis")),0)))),IF($I$4="Timur",IF($I$5="All",SUM(SUMIFS(Database!$AH$4:$AH$1048576,Database!$AC$4:$AC$1048576,$I$3,Database!$AE$4:$AE$1048576,{"SB1","SB2","BMS","MKS","DPS","KDR","MLG","SMD","PTK","JBR","MNO","JPU","MTR","BPP","KPG","PLU"},Database!$AH$4:$AH$1048576,"=1")),IF($I$5="Apotek",SUM(SUMIFS(Database!$AH$4:$AH$1048576,Database!$AC$4:$AC$1048576,$I$3,Database!$AE$4:$AE$1048576,{"SB1","SB2","BMS","MKS","DPS","KDR","MLG","SMD","PTK","JBR","MNO","JPU","MTR","BPP","KPG","PLU"},Database!$AH$4:$AH$1048576,"=1",Database!$AG$4:$AG$1048576,"Apotek")),IF($I$5="Rumah Sakit",SUM(SUMIFS(Database!$AH$4:$AH$1048576,Database!$AC$4:$AC$1048576,$I$3,Database!$AE$4:$AE$1048576,{"SB1","SB2","BMS","MKS","DPS","KDR","MLG","SMD","PTK","JBR","MNO","JPU","MTR","BPP","KPG","PLU"},Database!$AH$4:$AH$1048576,"=1",Database!$AG$4:$AG$1048576,"Rumah sakit")),IF($I$5="Subdis",SUM(SUMIFS(Database!$AH$4:$AH$1048576,Database!$AC$4:$AC$1048576,$I$3,Database!$AE$4:$AE$1048576,{"SB1","SB2","BMS","MKS","DPS","KDR","MLG","SMD","PTK","JBR","MNO","JPU","MTR","BPP","KPG","PLU"},Database!$AH$4:$AH$1048576,"=1",Database!$AG$4:$AG$1048576,"Subdis")),0)))))))/$B$8</f>
        <v>0</v>
      </c>
      <c r="I9" s="23">
        <f>IF($I$4="Barat",IF($I$5="All",SUM(SUMIFS(Database!$AH$4:$AH$1048576,Database!$AC$4:$AC$1048576,$I$3,Database!$AE$4:$AE$1048576,{"JK2","MDN","TGR","PKB","PLB","BDL","PMS","PDG","BTM","BAC","JBI","PKP","BKL","LSE","PJT"},Database!$AH$4:$AH$1048576,"=2")),IF($I$5="Apotek",SUM(SUMIFS(Database!$AH$4:$AH$1048576,Database!$AC$4:$AC$1048576,$I$3,Database!$AE$4:$AE$1048576,{"JK2","MDN","TGR","PKB","PLB","BDL","PMS","PDG","BTM","BAC","JBI","PKP","BKL","LSE","PJT"},Database!$AH$4:$AH$1048576,"=2",Database!$AG$4:$AG$1048576,"Apotek")),IF($I$5="Rumah Sakit",SUM(SUMIFS(Database!$AH$4:$AH$1048576,Database!$AC$4:$AC$1048576,$I$3,Database!$AE$4:$AE$1048576,{"JK2","MDN","TGR","PKB","PLB","BDL","PMS","PDG","BTM","BAC","JBI","PKP","BKL","LSE","PJT"},Database!$AH$4:$AH$1048576,"=2",Database!$AG$4:$AG$1048576,"Rumah sakit")),IF($I$5="Subdis",SUM(SUMIFS(Database!$AH$4:$AH$1048576,Database!$AC$4:$AC$1048576,$I$3,Database!$AE$4:$AE$1048576,{"JK2","MDN","TGR","PKB","PLB","BDL","PMS","PDG","BTM","BAC","JBI","PKP","BKL","LSE","PJT"},Database!$AH$4:$AH$1048576,"=2",Database!$AG$4:$AG$1048576,"Subdis")),0)))),IF($I$4="Tengah",IF($I$5="All",SUM(SUMIFS(Database!$AH$4:$AH$1048576,Database!$AC$4:$AC$1048576,$I$3,Database!$AE$4:$AE$1048576,{"JK1","JK3","BDG","SMG","BGR","YOG","SLO","CRB","PWK","BKS","KDS","TGL","TSK","SKI","BD2"},Database!$AH$4:$AH$1048576,"=2")),IF($I$5="Apotek",SUM(SUMIFS(Database!$AH$4:$AH$1048576,Database!$AC$4:$AC$1048576,$I$3,Database!$AE$4:$AE$1048576,{"JK1","JK3","BDG","SMG","BGR","YOG","SLO","CRB","PWK","BKS","KDS","TGL","TSK","SKI","BD2"},Database!$AH$4:$AH$1048576,"=2",Database!$AG$4:$AG$1048576,"Apotek")),IF($I$5="Rumah Sakit",SUM(SUMIFS(Database!$AH$4:$AH$1048576,Database!$AC$4:$AC$1048576,$I$3,Database!$AE$4:$AE$1048576,{"JK1","JK3","BDG","SMG","BGR","YOG","SLO","CRB","PWK","BKS","KDS","TGL","TSK","SKI","BD2"},Database!$AH$4:$AH$1048576,"=2",Database!$AG$4:$AG$1048576,"Rumah sakit")),IF($I$5="Subdis",SUM(SUMIFS(Database!$AH$4:$AH$1048576,Database!$AC$4:$AC$1048576,$I$3,Database!$AE$4:$AE$1048576,{"JK1","JK3","BDG","SMG","BGR","YOG","SLO","CRB","PWK","BKS","KDS","TGL","TSK","SKI","BD2"},Database!$AH$4:$AH$1048576,"=2",Database!$AG$4:$AG$1048576,"Subdis")),0)))),IF($I$4="Timur",IF($I$5="All",SUM(SUMIFS(Database!$AH$4:$AH$1048576,Database!$AC$4:$AC$1048576,$I$3,Database!$AE$4:$AE$1048576,{"SB1","SB2","BMS","MKS","DPS","KDR","MLG","SMD","PTK","JBR","MNO","JPU","MTR","BPP","KPG","PLU"},Database!$AH$4:$AH$1048576,"=2")),IF($I$5="Apotek",SUM(SUMIFS(Database!$AH$4:$AH$1048576,Database!$AC$4:$AC$1048576,$I$3,Database!$AE$4:$AE$1048576,{"SB1","SB2","BMS","MKS","DPS","KDR","MLG","SMD","PTK","JBR","MNO","JPU","MTR","BPP","KPG","PLU"},Database!$AH$4:$AH$1048576,"=2",Database!$AG$4:$AG$1048576,"Apotek")),IF($I$5="Rumah Sakit",SUM(SUMIFS(Database!$AH$4:$AH$1048576,Database!$AC$4:$AC$1048576,$I$3,Database!$AE$4:$AE$1048576,{"SB1","SB2","BMS","MKS","DPS","KDR","MLG","SMD","PTK","JBR","MNO","JPU","MTR","BPP","KPG","PLU"},Database!$AH$4:$AH$1048576,"=2",Database!$AG$4:$AG$1048576,"Rumah sakit")),IF($I$5="Subdis",SUM(SUMIFS(Database!$AH$4:$AH$1048576,Database!$AC$4:$AC$1048576,$I$3,Database!$AE$4:$AE$1048576,{"SB1","SB2","BMS","MKS","DPS","KDR","MLG","SMD","PTK","JBR","MNO","JPU","MTR","BPP","KPG","PLU"},Database!$AH$4:$AH$1048576,"=2",Database!$AG$4:$AG$1048576,"Subdis")),0)))))))/$C$8</f>
        <v>0</v>
      </c>
      <c r="J9" s="23">
        <f>IF($I$4="Barat",IF($I$5="All",SUM(SUMIFS(Database!$AH$4:$AH$1048576,Database!$AC$4:$AC$1048576,$I$3,Database!$AE$4:$AE$1048576,{"JK2","MDN","TGR","PKB","PLB","BDL","PMS","PDG","BTM","BAC","JBI","PKP","BKL","LSE","PJT"},Database!$AH$4:$AH$1048576,"=3")),IF($I$5="Apotek",SUM(SUMIFS(Database!$AH$4:$AH$1048576,Database!$AC$4:$AC$1048576,$I$3,Database!$AE$4:$AE$1048576,{"JK2","MDN","TGR","PKB","PLB","BDL","PMS","PDG","BTM","BAC","JBI","PKP","BKL","LSE","PJT"},Database!$AH$4:$AH$1048576,"=3",Database!$AG$4:$AG$1048576,"Apotek")),IF($I$5="Rumah Sakit",SUM(SUMIFS(Database!$AH$4:$AH$1048576,Database!$AC$4:$AC$1048576,$I$3,Database!$AE$4:$AE$1048576,{"JK2","MDN","TGR","PKB","PLB","BDL","PMS","PDG","BTM","BAC","JBI","PKP","BKL","LSE","PJT"},Database!$AH$4:$AH$1048576,"=3",Database!$AG$4:$AG$1048576,"Rumah sakit")),IF($I$5="Subdis",SUM(SUMIFS(Database!$AH$4:$AH$1048576,Database!$AC$4:$AC$1048576,$I$3,Database!$AE$4:$AE$1048576,{"JK2","MDN","TGR","PKB","PLB","BDL","PMS","PDG","BTM","BAC","JBI","PKP","BKL","LSE","PJT"},Database!$AH$4:$AH$1048576,"=3",Database!$AG$4:$AG$1048576,"Subdis")),0)))),IF($I$4="Tengah",IF($I$5="All",SUM(SUMIFS(Database!$AH$4:$AH$1048576,Database!$AC$4:$AC$1048576,$I$3,Database!$AE$4:$AE$1048576,{"JK1","JK3","BDG","SMG","BGR","YOG","SLO","CRB","PWK","BKS","KDS","TGL","TSK","SKI","BD2"},Database!$AH$4:$AH$1048576,"=3")),IF($I$5="Apotek",SUM(SUMIFS(Database!$AH$4:$AH$1048576,Database!$AC$4:$AC$1048576,$I$3,Database!$AE$4:$AE$1048576,{"JK1","JK3","BDG","SMG","BGR","YOG","SLO","CRB","PWK","BKS","KDS","TGL","TSK","SKI","BD2"},Database!$AH$4:$AH$1048576,"=3",Database!$AG$4:$AG$1048576,"Apotek")),IF($I$5="Rumah Sakit",SUM(SUMIFS(Database!$AH$4:$AH$1048576,Database!$AC$4:$AC$1048576,$I$3,Database!$AE$4:$AE$1048576,{"JK1","JK3","BDG","SMG","BGR","YOG","SLO","CRB","PWK","BKS","KDS","TGL","TSK","SKI","BD2"},Database!$AH$4:$AH$1048576,"=3",Database!$AG$4:$AG$1048576,"Rumah sakit")),IF($I$5="Subdis",SUM(SUMIFS(Database!$AH$4:$AH$1048576,Database!$AC$4:$AC$1048576,$I$3,Database!$AE$4:$AE$1048576,{"JK1","JK3","BDG","SMG","BGR","YOG","SLO","CRB","PWK","BKS","KDS","TGL","TSK","SKI","BD2"},Database!$AH$4:$AH$1048576,"=3",Database!$AG$4:$AG$1048576,"Subdis")),0)))),IF($I$4="Timur",IF($I$5="All",SUM(SUMIFS(Database!$AH$4:$AH$1048576,Database!$AC$4:$AC$1048576,$I$3,Database!$AE$4:$AE$1048576,{"SB1","SB2","BMS","MKS","DPS","KDR","MLG","SMD","PTK","JBR","MNO","JPU","MTR","BPP","KPG","PLU"},Database!$AH$4:$AH$1048576,"=3")),IF($I$5="Apotek",SUM(SUMIFS(Database!$AH$4:$AH$1048576,Database!$AC$4:$AC$1048576,$I$3,Database!$AE$4:$AE$1048576,{"SB1","SB2","BMS","MKS","DPS","KDR","MLG","SMD","PTK","JBR","MNO","JPU","MTR","BPP","KPG","PLU"},Database!$AH$4:$AH$1048576,"=3",Database!$AG$4:$AG$1048576,"Apotek")),IF($I$5="Rumah Sakit",SUM(SUMIFS(Database!$AH$4:$AH$1048576,Database!$AC$4:$AC$1048576,$I$3,Database!$AE$4:$AE$1048576,{"SB1","SB2","BMS","MKS","DPS","KDR","MLG","SMD","PTK","JBR","MNO","JPU","MTR","BPP","KPG","PLU"},Database!$AH$4:$AH$1048576,"=3",Database!$AG$4:$AG$1048576,"Rumah sakit")),IF($I$5="Subdis",SUM(SUMIFS(Database!$AH$4:$AH$1048576,Database!$AC$4:$AC$1048576,$I$3,Database!$AE$4:$AE$1048576,{"SB1","SB2","BMS","MKS","DPS","KDR","MLG","SMD","PTK","JBR","MNO","JPU","MTR","BPP","KPG","PLU"},Database!$AH$4:$AH$1048576,"=3",Database!$AG$4:$AG$1048576,"Subdis")),0)))))))/$D$8</f>
        <v>0</v>
      </c>
      <c r="K9" s="23">
        <f>IF($I$4="Barat",IF($I$5="All",SUM(SUMIFS(Database!$AH$4:$AH$1048576,Database!$AC$4:$AC$1048576,$I$3,Database!$AE$4:$AE$1048576,{"JK2","MDN","TGR","PKB","PLB","BDL","PMS","PDG","BTM","BAC","JBI","PKP","BKL","LSE","PJT"},Database!$AH$4:$AH$1048576,"=4")),IF($I$5="Apotek",SUM(SUMIFS(Database!$AH$4:$AH$1048576,Database!$AC$4:$AC$1048576,$I$3,Database!$AE$4:$AE$1048576,{"JK2","MDN","TGR","PKB","PLB","BDL","PMS","PDG","BTM","BAC","JBI","PKP","BKL","LSE","PJT"},Database!$AH$4:$AH$1048576,"=4",Database!$AG$4:$AG$1048576,"Apotek")),IF($I$5="Rumah Sakit",SUM(SUMIFS(Database!$AH$4:$AH$1048576,Database!$AC$4:$AC$1048576,$I$3,Database!$AE$4:$AE$1048576,{"JK2","MDN","TGR","PKB","PLB","BDL","PMS","PDG","BTM","BAC","JBI","PKP","BKL","LSE","PJT"},Database!$AH$4:$AH$1048576,"=4",Database!$AG$4:$AG$1048576,"Rumah sakit")),IF($I$5="Subdis",SUM(SUMIFS(Database!$AH$4:$AH$1048576,Database!$AC$4:$AC$1048576,$I$3,Database!$AE$4:$AE$1048576,{"JK2","MDN","TGR","PKB","PLB","BDL","PMS","PDG","BTM","BAC","JBI","PKP","BKL","LSE","PJT"},Database!$AH$4:$AH$1048576,"=4",Database!$AG$4:$AG$1048576,"Subdis")),0)))),IF($I$4="Tengah",IF($I$5="All",SUM(SUMIFS(Database!$AH$4:$AH$1048576,Database!$AC$4:$AC$1048576,$I$3,Database!$AE$4:$AE$1048576,{"JK1","JK3","BDG","SMG","BGR","YOG","SLO","CRB","PWK","BKS","KDS","TGL","TSK","SKI","BD2"},Database!$AH$4:$AH$1048576,"=4")),IF($I$5="Apotek",SUM(SUMIFS(Database!$AH$4:$AH$1048576,Database!$AC$4:$AC$1048576,$I$3,Database!$AE$4:$AE$1048576,{"JK1","JK3","BDG","SMG","BGR","YOG","SLO","CRB","PWK","BKS","KDS","TGL","TSK","SKI","BD2"},Database!$AH$4:$AH$1048576,"=4",Database!$AG$4:$AG$1048576,"Apotek")),IF($I$5="Rumah Sakit",SUM(SUMIFS(Database!$AH$4:$AH$1048576,Database!$AC$4:$AC$1048576,$I$3,Database!$AE$4:$AE$1048576,{"JK1","JK3","BDG","SMG","BGR","YOG","SLO","CRB","PWK","BKS","KDS","TGL","TSK","SKI","BD2"},Database!$AH$4:$AH$1048576,"=4",Database!$AG$4:$AG$1048576,"Rumah sakit")),IF($I$5="Subdis",SUM(SUMIFS(Database!$AH$4:$AH$1048576,Database!$AC$4:$AC$1048576,$I$3,Database!$AE$4:$AE$1048576,{"JK1","JK3","BDG","SMG","BGR","YOG","SLO","CRB","PWK","BKS","KDS","TGL","TSK","SKI","BD2"},Database!$AH$4:$AH$1048576,"=4",Database!$AG$4:$AG$1048576,"Subdis")),0)))),IF($I$4="Timur",IF($I$5="All",SUM(SUMIFS(Database!$AH$4:$AH$1048576,Database!$AC$4:$AC$1048576,$I$3,Database!$AE$4:$AE$1048576,{"SB1","SB2","BMS","MKS","DPS","KDR","MLG","SMD","PTK","JBR","MNO","JPU","MTR","BPP","KPG","PLU"},Database!$AH$4:$AH$1048576,"=4")),IF($I$5="Apotek",SUM(SUMIFS(Database!$AH$4:$AH$1048576,Database!$AC$4:$AC$1048576,$I$3,Database!$AE$4:$AE$1048576,{"SB1","SB2","BMS","MKS","DPS","KDR","MLG","SMD","PTK","JBR","MNO","JPU","MTR","BPP","KPG","PLU"},Database!$AH$4:$AH$1048576,"=4",Database!$AG$4:$AG$1048576,"Apotek")),IF($I$5="Rumah Sakit",SUM(SUMIFS(Database!$AH$4:$AH$1048576,Database!$AC$4:$AC$1048576,$I$3,Database!$AE$4:$AE$1048576,{"SB1","SB2","BMS","MKS","DPS","KDR","MLG","SMD","PTK","JBR","MNO","JPU","MTR","BPP","KPG","PLU"},Database!$AH$4:$AH$1048576,"=4",Database!$AG$4:$AG$1048576,"Rumah sakit")),IF($I$5="Subdis",SUM(SUMIFS(Database!$AH$4:$AH$1048576,Database!$AC$4:$AC$1048576,$I$3,Database!$AE$4:$AE$1048576,{"SB1","SB2","BMS","MKS","DPS","KDR","MLG","SMD","PTK","JBR","MNO","JPU","MTR","BPP","KPG","PLU"},Database!$AH$4:$AH$1048576,"=4",Database!$AG$4:$AG$1048576,"Subdis")),0)))))))/$E$8</f>
        <v>0</v>
      </c>
      <c r="L9" s="9">
        <f>(H9*$H$8)+(I9*$I$8)+(J9*$J$8)+(K9*$K$8)</f>
        <v>0</v>
      </c>
      <c r="M9" s="10" t="e">
        <f>L9/(K9+J9+I9+H9)</f>
        <v>#DIV/0!</v>
      </c>
      <c r="N9" s="10" t="e">
        <f>+M9-G9</f>
        <v>#DIV/0!</v>
      </c>
      <c r="O9" s="32" t="e">
        <f>RANK(N9,$N$9:$N$28,0)</f>
        <v>#DIV/0!</v>
      </c>
      <c r="P9" s="11" t="s">
        <v>52</v>
      </c>
      <c r="Q9" s="32" t="e">
        <f>RANK(N9,$N$9:$N$12,0)</f>
        <v>#DIV/0!</v>
      </c>
      <c r="R9" s="81" t="e">
        <f>RANK(G9,$G$9:$G$28)</f>
        <v>#DIV/0!</v>
      </c>
      <c r="S9" s="81" t="e">
        <f>RANK(M9,$M$9:$M$28)</f>
        <v>#DIV/0!</v>
      </c>
      <c r="T9" s="81" t="e">
        <f>RANK(G9,$G$9:$G$12)</f>
        <v>#DIV/0!</v>
      </c>
      <c r="U9" s="81" t="e">
        <f>RANK(M9,$M$9:$M$12)</f>
        <v>#DIV/0!</v>
      </c>
      <c r="V9" s="257" t="s">
        <v>181</v>
      </c>
    </row>
    <row r="10" spans="1:22" ht="18" x14ac:dyDescent="0.35">
      <c r="A10" s="9" t="s">
        <v>15</v>
      </c>
      <c r="B10" s="23">
        <f>IF($I$4="Barat",IF($I$5="All",SUM(SUMIFS(Database!$H$4:$H$1048576,Database!$B$4:$B$1048576,$I$3,Database!$D$4:$D$1048576,{"JK2","MDN","TGR","PKB","PLB","BDL","PMS","PDG","BTM","BAC","JBI","PKP","BKL","LSE","PJT"},Database!$H$4:$H$1048576,"=1")),IF($I$5="Apotek",SUM(SUMIFS(Database!$H$4:$H$1048576,Database!$B$4:$B$1048576,$I$3,Database!$D$4:$D$1048576,{"JK2","MDN","TGR","PKB","PLB","BDL","PMS","PDG","BTM","BAC","JBI","PKP","BKL","LSE","PJT"},Database!$H$4:$H$1048576,"=1",Database!$F$4:$F$1048576,"Apotek")),IF($I$5="Rumah Sakit",SUM(SUMIFS(Database!$H$4:$H$1048576,Database!$B$4:$B$1048576,$I$3,Database!$D$4:$D$1048576,{"JK2","MDN","TGR","PKB","PLB","BDL","PMS","PDG","BTM","BAC","JBI","PKP","BKL","LSE","PJT"},Database!$H$4:$H$1048576,"=1",Database!$F$4:$F$1048576,"Rumah sakit")),IF($I$5="Subdis",SUM(SUMIFS(Database!$H$4:$H$1048576,Database!$B$4:$B$1048576,$I$3,Database!$D$4:$D$1048576,{"JK2","MDN","TGR","PKB","PLB","BDL","PMS","PDG","BTM","BAC","JBI","PKP","BKL","LSE","PJT"},Database!$H$4:$H$1048576,"=1",Database!$F$4:$F$1048576,"Subdis")),0)))),IF($I$4="Tengah",IF($I$5="All",SUM(SUMIFS(Database!$H$4:$H$1048576,Database!$B$4:$B$1048576,$I$3,Database!$D$4:$D$1048576,{"JK1","JK3","BDG","SMG","BGR","YOG","SLO","CRB","PWK","BKS","KDS","TGL","TSK","SKI","BD2"},Database!$H$4:$H$1048576,"=1")),IF($I$5="Apotek",SUM(SUMIFS(Database!$H$4:$H$1048576,Database!$B$4:$B$1048576,$I$3,Database!$D$4:$D$1048576,{"JK1","JK3","BDG","SMG","BGR","YOG","SLO","CRB","PWK","BKS","KDS","TGL","TSK","SKI","BD2"},Database!$H$4:$H$1048576,"=1",Database!$F$4:$F$1048576,"Apotek")),IF($I$5="Rumah Sakit",SUM(SUMIFS(Database!$H$4:$H$1048576,Database!$B$4:$B$1048576,$I$3,Database!$D$4:$D$1048576,{"JK1","JK3","BDG","SMG","BGR","YOG","SLO","CRB","PWK","BKS","KDS","TGL","TSK","SKI","BD2"},Database!$H$4:$H$1048576,"=1",Database!$F$4:$F$1048576,"Rumah sakit")),IF($I$5="Subdis",SUM(SUMIFS(Database!$H$4:$H$1048576,Database!$B$4:$B$1048576,$I$3,Database!$D$4:$D$1048576,{"JK1","JK3","BDG","SMG","BGR","YOG","SLO","CRB","PWK","BKS","KDS","TGL","TSK","SKI","BD2"},Database!$H$4:$H$1048576,"=1",Database!$F$4:$F$1048576,"Subdis")),0)))),IF($I$4="Timur",IF($I$5="All",SUM(SUMIFS(Database!$H$4:$H$1048576,Database!$B$4:$B$1048576,$I$3,Database!$D$4:$D$1048576,{"SB1","SB2","BMS","MKS","DPS","KDR","MLG","SMD","PTK","JBR","MNO","JPU","MTR","BPP","KPG","PLU"},Database!$H$4:$H$1048576,"=1")),IF($I$5="Apotek",SUM(SUMIFS(Database!$H$4:$H$1048576,Database!$B$4:$B$1048576,$I$3,Database!$D$4:$D$1048576,{"SB1","SB2","BMS","MKS","DPS","KDR","MLG","SMD","PTK","JBR","MNO","JPU","MTR","BPP","KPG","PLU"},Database!$H$4:$H$1048576,"=1",Database!$F$4:$F$1048576,"Apotek")),IF($I$5="Rumah Sakit",SUM(SUMIFS(Database!$H$4:$H$1048576,Database!$B$4:$B$1048576,$I$3,Database!$D$4:$D$1048576,{"SB1","SB2","BMS","MKS","DPS","KDR","MLG","SMD","PTK","JBR","MNO","JPU","MTR","BPP","KPG","PLU"},Database!$H$4:$H$1048576,"=1",Database!$F$4:$F$1048576,"Rumah sakit")),IF($I$5="Subdis",SUM(SUMIFS(Database!$H$4:$H$1048576,Database!$B$4:$B$1048576,$I$3,Database!$D$4:$D$1048576,{"SB1","SB2","BMS","MKS","DPS","KDR","MLG","SMD","PTK","JBR","MNO","JPU","MTR","BPP","KPG","PLU"},Database!$H$4:$H$1048576,"=1",Database!$F$4:$F$1048576,"Subdis")),0)))))))/$B$8</f>
        <v>0</v>
      </c>
      <c r="C10" s="23">
        <f>IF($I$4="Barat",IF($I$5="All",SUM(SUMIFS(Database!$H$4:$H$1048576,Database!$B$4:$B$1048576,$I$3,Database!$D$4:$D$1048576,{"JK2","MDN","TGR","PKB","PLB","BDL","PMS","PDG","BTM","BAC","JBI","PKP","BKL","LSE","PJT"},Database!$H$4:$H$1048576,"=2")),IF($I$5="Apotek",SUM(SUMIFS(Database!$H$4:$H$1048576,Database!$B$4:$B$1048576,$I$3,Database!$D$4:$D$1048576,{"JK2","MDN","TGR","PKB","PLB","BDL","PMS","PDG","BTM","BAC","JBI","PKP","BKL","LSE","PJT"},Database!$H$4:$H$1048576,"=2",Database!$F$4:$F$1048576,"Apotek")),IF($I$5="Rumah Sakit",SUM(SUMIFS(Database!$H$4:$H$1048576,Database!$B$4:$B$1048576,$I$3,Database!$D$4:$D$1048576,{"JK2","MDN","TGR","PKB","PLB","BDL","PMS","PDG","BTM","BAC","JBI","PKP","BKL","LSE","PJT"},Database!$H$4:$H$1048576,"=2",Database!$F$4:$F$1048576,"Rumah sakit")),IF($I$5="Subdis",SUM(SUMIFS(Database!$H$4:$H$1048576,Database!$B$4:$B$1048576,$I$3,Database!$D$4:$D$1048576,{"JK2","MDN","TGR","PKB","PLB","BDL","PMS","PDG","BTM","BAC","JBI","PKP","BKL","LSE","PJT"},Database!$H$4:$H$1048576,"=2",Database!$F$4:$F$1048576,"Subdis")),0)))),IF($I$4="Tengah",IF($I$5="All",SUM(SUMIFS(Database!$H$4:$H$1048576,Database!$B$4:$B$1048576,$I$3,Database!$D$4:$D$1048576,{"JK1","JK3","BDG","SMG","BGR","YOG","SLO","CRB","PWK","BKS","KDS","TGL","TSK","SKI","BD2"},Database!$H$4:$H$1048576,"=2")),IF($I$5="Apotek",SUM(SUMIFS(Database!$H$4:$H$1048576,Database!$B$4:$B$1048576,$I$3,Database!$D$4:$D$1048576,{"JK1","JK3","BDG","SMG","BGR","YOG","SLO","CRB","PWK","BKS","KDS","TGL","TSK","SKI","BD2"},Database!$H$4:$H$1048576,"=2",Database!$F$4:$F$1048576,"Apotek")),IF($I$5="Rumah Sakit",SUM(SUMIFS(Database!$H$4:$H$1048576,Database!$B$4:$B$1048576,$I$3,Database!$D$4:$D$1048576,{"JK1","JK3","BDG","SMG","BGR","YOG","SLO","CRB","PWK","BKS","KDS","TGL","TSK","SKI","BD2"},Database!$H$4:$H$1048576,"=2",Database!$F$4:$F$1048576,"Rumah sakit")),IF($I$5="Subdis",SUM(SUMIFS(Database!$H$4:$H$1048576,Database!$B$4:$B$1048576,$I$3,Database!$D$4:$D$1048576,{"JK1","JK3","BDG","SMG","BGR","YOG","SLO","CRB","PWK","BKS","KDS","TGL","TSK","SKI","BD2"},Database!$H$4:$H$1048576,"=2",Database!$F$4:$F$1048576,"Subdis")),0)))),IF($I$4="Timur",IF($I$5="All",SUM(SUMIFS(Database!$H$4:$H$1048576,Database!$B$4:$B$1048576,$I$3,Database!$D$4:$D$1048576,{"SB1","SB2","BMS","MKS","DPS","KDR","MLG","SMD","PTK","JBR","MNO","JPU","MTR","BPP","KPG","PLU"},Database!$H$4:$H$1048576,"=2")),IF($I$5="Apotek",SUM(SUMIFS(Database!$H$4:$H$1048576,Database!$B$4:$B$1048576,$I$3,Database!$D$4:$D$1048576,{"SB1","SB2","BMS","MKS","DPS","KDR","MLG","SMD","PTK","JBR","MNO","JPU","MTR","BPP","KPG","PLU"},Database!$H$4:$H$1048576,"=2",Database!$F$4:$F$1048576,"Apotek")),IF($I$5="Rumah Sakit",SUM(SUMIFS(Database!$H$4:$H$1048576,Database!$B$4:$B$1048576,$I$3,Database!$D$4:$D$1048576,{"SB1","SB2","BMS","MKS","DPS","KDR","MLG","SMD","PTK","JBR","MNO","JPU","MTR","BPP","KPG","PLU"},Database!$H$4:$H$1048576,"=2",Database!$F$4:$F$1048576,"Rumah sakit")),IF($I$5="Subdis",SUM(SUMIFS(Database!$H$4:$H$1048576,Database!$B$4:$B$1048576,$I$3,Database!$D$4:$D$1048576,{"SB1","SB2","BMS","MKS","DPS","KDR","MLG","SMD","PTK","JBR","MNO","JPU","MTR","BPP","KPG","PLU"},Database!$H$4:$H$1048576,"=2",Database!$F$4:$F$1048576,"Subdis")),0)))))))/$C$8</f>
        <v>0</v>
      </c>
      <c r="D10" s="23">
        <f>IF($I$4="Barat",IF($I$5="All",SUM(SUMIFS(Database!$H$4:$H$1048576,Database!$B$4:$B$1048576,$I$3,Database!$D$4:$D$1048576,{"JK2","MDN","TGR","PKB","PLB","BDL","PMS","PDG","BTM","BAC","JBI","PKP","BKL","LSE","PJT"},Database!$H$4:$H$1048576,"=3")),IF($I$5="Apotek",SUM(SUMIFS(Database!$H$4:$H$1048576,Database!$B$4:$B$1048576,$I$3,Database!$D$4:$D$1048576,{"JK2","MDN","TGR","PKB","PLB","BDL","PMS","PDG","BTM","BAC","JBI","PKP","BKL","LSE","PJT"},Database!$H$4:$H$1048576,"=3",Database!$F$4:$F$1048576,"Apotek")),IF($I$5="Rumah Sakit",SUM(SUMIFS(Database!$H$4:$H$1048576,Database!$B$4:$B$1048576,$I$3,Database!$D$4:$D$1048576,{"JK2","MDN","TGR","PKB","PLB","BDL","PMS","PDG","BTM","BAC","JBI","PKP","BKL","LSE","PJT"},Database!$H$4:$H$1048576,"=3",Database!$F$4:$F$1048576,"Rumah sakit")),IF($I$5="Subdis",SUM(SUMIFS(Database!$H$4:$H$1048576,Database!$B$4:$B$1048576,$I$3,Database!$D$4:$D$1048576,{"JK2","MDN","TGR","PKB","PLB","BDL","PMS","PDG","BTM","BAC","JBI","PKP","BKL","LSE","PJT"},Database!$H$4:$H$1048576,"=3",Database!$F$4:$F$1048576,"Subdis")),0)))),IF($I$4="Tengah",IF($I$5="All",SUM(SUMIFS(Database!$H$4:$H$1048576,Database!$B$4:$B$1048576,$I$3,Database!$D$4:$D$1048576,{"JK1","JK3","BDG","SMG","BGR","YOG","SLO","CRB","PWK","BKS","KDS","TGL","TSK","SKI","BD2"},Database!$H$4:$H$1048576,"=3")),IF($I$5="Apotek",SUM(SUMIFS(Database!$H$4:$H$1048576,Database!$B$4:$B$1048576,$I$3,Database!$D$4:$D$1048576,{"JK1","JK3","BDG","SMG","BGR","YOG","SLO","CRB","PWK","BKS","KDS","TGL","TSK","SKI","BD2"},Database!$H$4:$H$1048576,"=3",Database!$F$4:$F$1048576,"Apotek")),IF($I$5="Rumah Sakit",SUM(SUMIFS(Database!$H$4:$H$1048576,Database!$B$4:$B$1048576,$I$3,Database!$D$4:$D$1048576,{"JK1","JK3","BDG","SMG","BGR","YOG","SLO","CRB","PWK","BKS","KDS","TGL","TSK","SKI","BD2"},Database!$H$4:$H$1048576,"=3",Database!$F$4:$F$1048576,"Rumah sakit")),IF($I$5="Subdis",SUM(SUMIFS(Database!$H$4:$H$1048576,Database!$B$4:$B$1048576,$I$3,Database!$D$4:$D$1048576,{"JK1","JK3","BDG","SMG","BGR","YOG","SLO","CRB","PWK","BKS","KDS","TGL","TSK","SKI","BD2"},Database!$H$4:$H$1048576,"=3",Database!$F$4:$F$1048576,"Subdis")),0)))),IF($I$4="Timur",IF($I$5="All",SUM(SUMIFS(Database!$H$4:$H$1048576,Database!$B$4:$B$1048576,$I$3,Database!$D$4:$D$1048576,{"SB1","SB2","BMS","MKS","DPS","KDR","MLG","SMD","PTK","JBR","MNO","JPU","MTR","BPP","KPG","PLU"},Database!$H$4:$H$1048576,"=3")),IF($I$5="Apotek",SUM(SUMIFS(Database!$H$4:$H$1048576,Database!$B$4:$B$1048576,$I$3,Database!$D$4:$D$1048576,{"SB1","SB2","BMS","MKS","DPS","KDR","MLG","SMD","PTK","JBR","MNO","JPU","MTR","BPP","KPG","PLU"},Database!$H$4:$H$1048576,"=3",Database!$F$4:$F$1048576,"Apotek")),IF($I$5="Rumah Sakit",SUM(SUMIFS(Database!$H$4:$H$1048576,Database!$B$4:$B$1048576,$I$3,Database!$D$4:$D$1048576,{"SB1","SB2","BMS","MKS","DPS","KDR","MLG","SMD","PTK","JBR","MNO","JPU","MTR","BPP","KPG","PLU"},Database!$H$4:$H$1048576,"=3",Database!$F$4:$F$1048576,"Rumah sakit")),IF($I$5="Subdis",SUM(SUMIFS(Database!$H$4:$H$1048576,Database!$B$4:$B$1048576,$I$3,Database!$D$4:$D$1048576,{"SB1","SB2","BMS","MKS","DPS","KDR","MLG","SMD","PTK","JBR","MNO","JPU","MTR","BPP","KPG","PLU"},Database!$H$4:$H$1048576,"=3",Database!$F$4:$F$1048576,"Subdis")),0)))))))/$D$8</f>
        <v>0</v>
      </c>
      <c r="E10" s="23">
        <f>IF($I$4="Barat",IF($I$5="All",SUM(SUMIFS(Database!$H$4:$H$1048576,Database!$B$4:$B$1048576,$I$3,Database!$D$4:$D$1048576,{"JK2","MDN","TGR","PKB","PLB","BDL","PMS","PDG","BTM","BAC","JBI","PKP","BKL","LSE","PJT"},Database!$H$4:$H$1048576,"=4")),IF($I$5="Apotek",SUM(SUMIFS(Database!$H$4:$H$1048576,Database!$B$4:$B$1048576,$I$3,Database!$D$4:$D$1048576,{"JK2","MDN","TGR","PKB","PLB","BDL","PMS","PDG","BTM","BAC","JBI","PKP","BKL","LSE","PJT"},Database!$H$4:$H$1048576,"=4",Database!$F$4:$F$1048576,"Apotek")),IF($I$5="Rumah Sakit",SUM(SUMIFS(Database!$H$4:$H$1048576,Database!$B$4:$B$1048576,$I$3,Database!$D$4:$D$1048576,{"JK2","MDN","TGR","PKB","PLB","BDL","PMS","PDG","BTM","BAC","JBI","PKP","BKL","LSE","PJT"},Database!$H$4:$H$1048576,"=4",Database!$F$4:$F$1048576,"Rumah sakit")),IF($I$5="Subdis",SUM(SUMIFS(Database!$H$4:$H$1048576,Database!$B$4:$B$1048576,$I$3,Database!$D$4:$D$1048576,{"JK2","MDN","TGR","PKB","PLB","BDL","PMS","PDG","BTM","BAC","JBI","PKP","BKL","LSE","PJT"},Database!$H$4:$H$1048576,"=4",Database!$F$4:$F$1048576,"Subdis")),0)))),IF($I$4="Tengah",IF($I$5="All",SUM(SUMIFS(Database!$H$4:$H$1048576,Database!$B$4:$B$1048576,$I$3,Database!$D$4:$D$1048576,{"JK1","JK3","BDG","SMG","BGR","YOG","SLO","CRB","PWK","BKS","KDS","TGL","TSK","SKI","BD2"},Database!$H$4:$H$1048576,"=4")),IF($I$5="Apotek",SUM(SUMIFS(Database!$H$4:$H$1048576,Database!$B$4:$B$1048576,$I$3,Database!$D$4:$D$1048576,{"JK1","JK3","BDG","SMG","BGR","YOG","SLO","CRB","PWK","BKS","KDS","TGL","TSK","SKI","BD2"},Database!$H$4:$H$1048576,"=4",Database!$F$4:$F$1048576,"Apotek")),IF($I$5="Rumah Sakit",SUM(SUMIFS(Database!$H$4:$H$1048576,Database!$B$4:$B$1048576,$I$3,Database!$D$4:$D$1048576,{"JK1","JK3","BDG","SMG","BGR","YOG","SLO","CRB","PWK","BKS","KDS","TGL","TSK","SKI","BD2"},Database!$H$4:$H$1048576,"=4",Database!$F$4:$F$1048576,"Rumah sakit")),IF($I$5="Subdis",SUM(SUMIFS(Database!$H$4:$H$1048576,Database!$B$4:$B$1048576,$I$3,Database!$D$4:$D$1048576,{"JK1","JK3","BDG","SMG","BGR","YOG","SLO","CRB","PWK","BKS","KDS","TGL","TSK","SKI","BD2"},Database!$H$4:$H$1048576,"=4",Database!$F$4:$F$1048576,"Subdis")),0)))),IF($I$4="Timur",IF($I$5="All",SUM(SUMIFS(Database!$H$4:$H$1048576,Database!$B$4:$B$1048576,$I$3,Database!$D$4:$D$1048576,{"SB1","SB2","BMS","MKS","DPS","KDR","MLG","SMD","PTK","JBR","MNO","JPU","MTR","BPP","KPG","PLU"},Database!$H$4:$H$1048576,"=4")),IF($I$5="Apotek",SUM(SUMIFS(Database!$H$4:$H$1048576,Database!$B$4:$B$1048576,$I$3,Database!$D$4:$D$1048576,{"SB1","SB2","BMS","MKS","DPS","KDR","MLG","SMD","PTK","JBR","MNO","JPU","MTR","BPP","KPG","PLU"},Database!$H$4:$H$1048576,"=4",Database!$F$4:$F$1048576,"Apotek")),IF($I$5="Rumah Sakit",SUM(SUMIFS(Database!$H$4:$H$1048576,Database!$B$4:$B$1048576,$I$3,Database!$D$4:$D$1048576,{"SB1","SB2","BMS","MKS","DPS","KDR","MLG","SMD","PTK","JBR","MNO","JPU","MTR","BPP","KPG","PLU"},Database!$H$4:$H$1048576,"=4",Database!$F$4:$F$1048576,"Rumah sakit")),IF($I$5="Subdis",SUM(SUMIFS(Database!$H$4:$H$1048576,Database!$B$4:$B$1048576,$I$3,Database!$D$4:$D$1048576,{"SB1","SB2","BMS","MKS","DPS","KDR","MLG","SMD","PTK","JBR","MNO","JPU","MTR","BPP","KPG","PLU"},Database!$H$4:$H$1048576,"=4",Database!$F$4:$F$1048576,"Subdis")),0)))))))/$E$8</f>
        <v>0</v>
      </c>
      <c r="F10" s="9">
        <f t="shared" ref="F10:F28" si="0">(B10*$B$8)+(C10*$C$8)+(D10*$D$8)+(E10*$E$8)</f>
        <v>0</v>
      </c>
      <c r="G10" s="10" t="e">
        <f>F10/(E10+D10+C10+B10)</f>
        <v>#DIV/0!</v>
      </c>
      <c r="H10" s="23">
        <f>IF($I$4="Barat",IF($I$5="All",SUM(SUMIFS(Database!$AI$4:$AI$1048576,Database!$AC$4:$AC$1048576,$I$3,Database!$AE$4:$AE$1048576,{"JK2","MDN","TGR","PKB","PLB","BDL","PMS","PDG","BTM","BAC","JBI","PKP","BKL","LSE","PJT"},Database!$AI$4:$AI$1048576,"=1")),IF($I$5="Apotek",SUM(SUMIFS(Database!$AI$4:$AI$1048576,Database!$AC$4:$AC$1048576,$I$3,Database!$AE$4:$AE$1048576,{"JK2","MDN","TGR","PKB","PLB","BDL","PMS","PDG","BTM","BAC","JBI","PKP","BKL","LSE","PJT"},Database!$AI$4:$AI$1048576,"=1",Database!$AG$4:$AG$1048576,"Apotek")),IF($I$5="Rumah Sakit",SUM(SUMIFS(Database!$AI$4:$AI$1048576,Database!$AC$4:$AC$1048576,$I$3,Database!$AE$4:$AE$1048576,{"JK2","MDN","TGR","PKB","PLB","BDL","PMS","PDG","BTM","BAC","JBI","PKP","BKL","LSE","PJT"},Database!$AI$4:$AI$1048576,"=1",Database!$AG$4:$AG$1048576,"Rumah sakit")),IF($I$5="Subdis",SUM(SUMIFS(Database!$AI$4:$AI$1048576,Database!$AC$4:$AC$1048576,$I$3,Database!$AE$4:$AE$1048576,{"JK2","MDN","TGR","PKB","PLB","BDL","PMS","PDG","BTM","BAC","JBI","PKP","BKL","LSE","PJT"},Database!$AI$4:$AI$1048576,"=1",Database!$AG$4:$AG$1048576,"Subdis")),0)))),IF($I$4="Tengah",IF($I$5="All",SUM(SUMIFS(Database!$AI$4:$AI$1048576,Database!$AC$4:$AC$1048576,$I$3,Database!$AE$4:$AE$1048576,{"JK1","JK3","BDG","SMG","BGR","YOG","SLO","CRB","PWK","BKS","KDS","TGL","TSK","SKI","BD2"},Database!$AI$4:$AI$1048576,"=1")),IF($I$5="Apotek",SUM(SUMIFS(Database!$AI$4:$AI$1048576,Database!$AC$4:$AC$1048576,$I$3,Database!$AE$4:$AE$1048576,{"JK1","JK3","BDG","SMG","BGR","YOG","SLO","CRB","PWK","BKS","KDS","TGL","TSK","SKI","BD2"},Database!$AI$4:$AI$1048576,"=1",Database!$AG$4:$AG$1048576,"Apotek")),IF($I$5="Rumah Sakit",SUM(SUMIFS(Database!$AI$4:$AI$1048576,Database!$AC$4:$AC$1048576,$I$3,Database!$AE$4:$AE$1048576,{"JK1","JK3","BDG","SMG","BGR","YOG","SLO","CRB","PWK","BKS","KDS","TGL","TSK","SKI","BD2"},Database!$AI$4:$AI$1048576,"=1",Database!$AG$4:$AG$1048576,"Rumah sakit")),IF($I$5="Subdis",SUM(SUMIFS(Database!$AI$4:$AI$1048576,Database!$AC$4:$AC$1048576,$I$3,Database!$AE$4:$AE$1048576,{"JK1","JK3","BDG","SMG","BGR","YOG","SLO","CRB","PWK","BKS","KDS","TGL","TSK","SKI","BD2"},Database!$AI$4:$AI$1048576,"=1",Database!$AG$4:$AG$1048576,"Subdis")),0)))),IF($I$4="Timur",IF($I$5="All",SUM(SUMIFS(Database!$AI$4:$AI$1048576,Database!$AC$4:$AC$1048576,$I$3,Database!$AE$4:$AE$1048576,{"SB1","SB2","BMS","MKS","DPS","KDR","MLG","SMD","PTK","JBR","MNO","JPU","MTR","BPP","KPG","PLU"},Database!$AI$4:$AI$1048576,"=1")),IF($I$5="Apotek",SUM(SUMIFS(Database!$AI$4:$AI$1048576,Database!$AC$4:$AC$1048576,$I$3,Database!$AE$4:$AE$1048576,{"SB1","SB2","BMS","MKS","DPS","KDR","MLG","SMD","PTK","JBR","MNO","JPU","MTR","BPP","KPG","PLU"},Database!$AI$4:$AI$1048576,"=1",Database!$AG$4:$AG$1048576,"Apotek")),IF($I$5="Rumah Sakit",SUM(SUMIFS(Database!$AI$4:$AI$1048576,Database!$AC$4:$AC$1048576,$I$3,Database!$AE$4:$AE$1048576,{"SB1","SB2","BMS","MKS","DPS","KDR","MLG","SMD","PTK","JBR","MNO","JPU","MTR","BPP","KPG","PLU"},Database!$AI$4:$AI$1048576,"=1",Database!$AG$4:$AG$1048576,"Rumah sakit")),IF($I$5="Subdis",SUM(SUMIFS(Database!$AI$4:$AI$1048576,Database!$AC$4:$AC$1048576,$I$3,Database!$AE$4:$AE$1048576,{"SB1","SB2","BMS","MKS","DPS","KDR","MLG","SMD","PTK","JBR","MNO","JPU","MTR","BPP","KPG","PLU"},Database!$AI$4:$AI$1048576,"=1",Database!$AG$4:$AG$1048576,"Subdis")),0)))))))/$B$8</f>
        <v>0</v>
      </c>
      <c r="I10" s="23">
        <f>IF($I$4="Barat",IF($I$5="All",SUM(SUMIFS(Database!$AI$4:$AI$1048576,Database!$AC$4:$AC$1048576,$I$3,Database!$AE$4:$AE$1048576,{"JK2","MDN","TGR","PKB","PLB","BDL","PMS","PDG","BTM","BAC","JBI","PKP","BKL","LSE","PJT"},Database!$AI$4:$AI$1048576,"=2")),IF($I$5="Apotek",SUM(SUMIFS(Database!$AI$4:$AI$1048576,Database!$AC$4:$AC$1048576,$I$3,Database!$AE$4:$AE$1048576,{"JK2","MDN","TGR","PKB","PLB","BDL","PMS","PDG","BTM","BAC","JBI","PKP","BKL","LSE","PJT"},Database!$AI$4:$AI$1048576,"=2",Database!$AG$4:$AG$1048576,"Apotek")),IF($I$5="Rumah Sakit",SUM(SUMIFS(Database!$AI$4:$AI$1048576,Database!$AC$4:$AC$1048576,$I$3,Database!$AE$4:$AE$1048576,{"JK2","MDN","TGR","PKB","PLB","BDL","PMS","PDG","BTM","BAC","JBI","PKP","BKL","LSE","PJT"},Database!$AI$4:$AI$1048576,"=2",Database!$AG$4:$AG$1048576,"Rumah sakit")),IF($I$5="Subdis",SUM(SUMIFS(Database!$AI$4:$AI$1048576,Database!$AC$4:$AC$1048576,$I$3,Database!$AE$4:$AE$1048576,{"JK2","MDN","TGR","PKB","PLB","BDL","PMS","PDG","BTM","BAC","JBI","PKP","BKL","LSE","PJT"},Database!$AI$4:$AI$1048576,"=2",Database!$AG$4:$AG$1048576,"Subdis")),0)))),IF($I$4="Tengah",IF($I$5="All",SUM(SUMIFS(Database!$AI$4:$AI$1048576,Database!$AC$4:$AC$1048576,$I$3,Database!$AE$4:$AE$1048576,{"JK1","JK3","BDG","SMG","BGR","YOG","SLO","CRB","PWK","BKS","KDS","TGL","TSK","SKI","BD2"},Database!$AI$4:$AI$1048576,"=2")),IF($I$5="Apotek",SUM(SUMIFS(Database!$AI$4:$AI$1048576,Database!$AC$4:$AC$1048576,$I$3,Database!$AE$4:$AE$1048576,{"JK1","JK3","BDG","SMG","BGR","YOG","SLO","CRB","PWK","BKS","KDS","TGL","TSK","SKI","BD2"},Database!$AI$4:$AI$1048576,"=2",Database!$AG$4:$AG$1048576,"Apotek")),IF($I$5="Rumah Sakit",SUM(SUMIFS(Database!$AI$4:$AI$1048576,Database!$AC$4:$AC$1048576,$I$3,Database!$AE$4:$AE$1048576,{"JK1","JK3","BDG","SMG","BGR","YOG","SLO","CRB","PWK","BKS","KDS","TGL","TSK","SKI","BD2"},Database!$AI$4:$AI$1048576,"=2",Database!$AG$4:$AG$1048576,"Rumah sakit")),IF($I$5="Subdis",SUM(SUMIFS(Database!$AI$4:$AI$1048576,Database!$AC$4:$AC$1048576,$I$3,Database!$AE$4:$AE$1048576,{"JK1","JK3","BDG","SMG","BGR","YOG","SLO","CRB","PWK","BKS","KDS","TGL","TSK","SKI","BD2"},Database!$AI$4:$AI$1048576,"=2",Database!$AG$4:$AG$1048576,"Subdis")),0)))),IF($I$4="Timur",IF($I$5="All",SUM(SUMIFS(Database!$AI$4:$AI$1048576,Database!$AC$4:$AC$1048576,$I$3,Database!$AE$4:$AE$1048576,{"SB1","SB2","BMS","MKS","DPS","KDR","MLG","SMD","PTK","JBR","MNO","JPU","MTR","BPP","KPG","PLU"},Database!$AI$4:$AI$1048576,"=2")),IF($I$5="Apotek",SUM(SUMIFS(Database!$AI$4:$AI$1048576,Database!$AC$4:$AC$1048576,$I$3,Database!$AE$4:$AE$1048576,{"SB1","SB2","BMS","MKS","DPS","KDR","MLG","SMD","PTK","JBR","MNO","JPU","MTR","BPP","KPG","PLU"},Database!$AI$4:$AI$1048576,"=2",Database!$AG$4:$AG$1048576,"Apotek")),IF($I$5="Rumah Sakit",SUM(SUMIFS(Database!$AI$4:$AI$1048576,Database!$AC$4:$AC$1048576,$I$3,Database!$AE$4:$AE$1048576,{"SB1","SB2","BMS","MKS","DPS","KDR","MLG","SMD","PTK","JBR","MNO","JPU","MTR","BPP","KPG","PLU"},Database!$AI$4:$AI$1048576,"=2",Database!$AG$4:$AG$1048576,"Rumah sakit")),IF($I$5="Subdis",SUM(SUMIFS(Database!$AI$4:$AI$1048576,Database!$AC$4:$AC$1048576,$I$3,Database!$AE$4:$AE$1048576,{"SB1","SB2","BMS","MKS","DPS","KDR","MLG","SMD","PTK","JBR","MNO","JPU","MTR","BPP","KPG","PLU"},Database!$AI$4:$AI$1048576,"=2",Database!$AG$4:$AG$1048576,"Subdis")),0)))))))/$C$8</f>
        <v>0</v>
      </c>
      <c r="J10" s="23">
        <f>IF($I$4="Barat",IF($I$5="All",SUM(SUMIFS(Database!$AI$4:$AI$1048576,Database!$AC$4:$AC$1048576,$I$3,Database!$AE$4:$AE$1048576,{"JK2","MDN","TGR","PKB","PLB","BDL","PMS","PDG","BTM","BAC","JBI","PKP","BKL","LSE","PJT"},Database!$AI$4:$AI$1048576,"=3")),IF($I$5="Apotek",SUM(SUMIFS(Database!$AI$4:$AI$1048576,Database!$AC$4:$AC$1048576,$I$3,Database!$AE$4:$AE$1048576,{"JK2","MDN","TGR","PKB","PLB","BDL","PMS","PDG","BTM","BAC","JBI","PKP","BKL","LSE","PJT"},Database!$AI$4:$AI$1048576,"=3",Database!$AG$4:$AG$1048576,"Apotek")),IF($I$5="Rumah Sakit",SUM(SUMIFS(Database!$AI$4:$AI$1048576,Database!$AC$4:$AC$1048576,$I$3,Database!$AE$4:$AE$1048576,{"JK2","MDN","TGR","PKB","PLB","BDL","PMS","PDG","BTM","BAC","JBI","PKP","BKL","LSE","PJT"},Database!$AI$4:$AI$1048576,"=3",Database!$AG$4:$AG$1048576,"Rumah sakit")),IF($I$5="Subdis",SUM(SUMIFS(Database!$AI$4:$AI$1048576,Database!$AC$4:$AC$1048576,$I$3,Database!$AE$4:$AE$1048576,{"JK2","MDN","TGR","PKB","PLB","BDL","PMS","PDG","BTM","BAC","JBI","PKP","BKL","LSE","PJT"},Database!$AI$4:$AI$1048576,"=3",Database!$AG$4:$AG$1048576,"Subdis")),0)))),IF($I$4="Tengah",IF($I$5="All",SUM(SUMIFS(Database!$AI$4:$AI$1048576,Database!$AC$4:$AC$1048576,$I$3,Database!$AE$4:$AE$1048576,{"JK1","JK3","BDG","SMG","BGR","YOG","SLO","CRB","PWK","BKS","KDS","TGL","TSK","SKI","BD2"},Database!$AI$4:$AI$1048576,"=3")),IF($I$5="Apotek",SUM(SUMIFS(Database!$AI$4:$AI$1048576,Database!$AC$4:$AC$1048576,$I$3,Database!$AE$4:$AE$1048576,{"JK1","JK3","BDG","SMG","BGR","YOG","SLO","CRB","PWK","BKS","KDS","TGL","TSK","SKI","BD2"},Database!$AI$4:$AI$1048576,"=3",Database!$AG$4:$AG$1048576,"Apotek")),IF($I$5="Rumah Sakit",SUM(SUMIFS(Database!$AI$4:$AI$1048576,Database!$AC$4:$AC$1048576,$I$3,Database!$AE$4:$AE$1048576,{"JK1","JK3","BDG","SMG","BGR","YOG","SLO","CRB","PWK","BKS","KDS","TGL","TSK","SKI","BD2"},Database!$AI$4:$AI$1048576,"=3",Database!$AG$4:$AG$1048576,"Rumah sakit")),IF($I$5="Subdis",SUM(SUMIFS(Database!$AI$4:$AI$1048576,Database!$AC$4:$AC$1048576,$I$3,Database!$AE$4:$AE$1048576,{"JK1","JK3","BDG","SMG","BGR","YOG","SLO","CRB","PWK","BKS","KDS","TGL","TSK","SKI","BD2"},Database!$AI$4:$AI$1048576,"=3",Database!$AG$4:$AG$1048576,"Subdis")),0)))),IF($I$4="Timur",IF($I$5="All",SUM(SUMIFS(Database!$AI$4:$AI$1048576,Database!$AC$4:$AC$1048576,$I$3,Database!$AE$4:$AE$1048576,{"SB1","SB2","BMS","MKS","DPS","KDR","MLG","SMD","PTK","JBR","MNO","JPU","MTR","BPP","KPG","PLU"},Database!$AI$4:$AI$1048576,"=3")),IF($I$5="Apotek",SUM(SUMIFS(Database!$AI$4:$AI$1048576,Database!$AC$4:$AC$1048576,$I$3,Database!$AE$4:$AE$1048576,{"SB1","SB2","BMS","MKS","DPS","KDR","MLG","SMD","PTK","JBR","MNO","JPU","MTR","BPP","KPG","PLU"},Database!$AI$4:$AI$1048576,"=3",Database!$AG$4:$AG$1048576,"Apotek")),IF($I$5="Rumah Sakit",SUM(SUMIFS(Database!$AI$4:$AI$1048576,Database!$AC$4:$AC$1048576,$I$3,Database!$AE$4:$AE$1048576,{"SB1","SB2","BMS","MKS","DPS","KDR","MLG","SMD","PTK","JBR","MNO","JPU","MTR","BPP","KPG","PLU"},Database!$AI$4:$AI$1048576,"=3",Database!$AG$4:$AG$1048576,"Rumah sakit")),IF($I$5="Subdis",SUM(SUMIFS(Database!$AI$4:$AI$1048576,Database!$AC$4:$AC$1048576,$I$3,Database!$AE$4:$AE$1048576,{"SB1","SB2","BMS","MKS","DPS","KDR","MLG","SMD","PTK","JBR","MNO","JPU","MTR","BPP","KPG","PLU"},Database!$AI$4:$AI$1048576,"=3",Database!$AG$4:$AG$1048576,"Subdis")),0)))))))/$D$8</f>
        <v>0</v>
      </c>
      <c r="K10" s="23">
        <f>IF($I$4="Barat",IF($I$5="All",SUM(SUMIFS(Database!$AI$4:$AI$1048576,Database!$AC$4:$AC$1048576,$I$3,Database!$AE$4:$AE$1048576,{"JK2","MDN","TGR","PKB","PLB","BDL","PMS","PDG","BTM","BAC","JBI","PKP","BKL","LSE","PJT"},Database!$AI$4:$AI$1048576,"=4")),IF($I$5="Apotek",SUM(SUMIFS(Database!$AI$4:$AI$1048576,Database!$AC$4:$AC$1048576,$I$3,Database!$AE$4:$AE$1048576,{"JK2","MDN","TGR","PKB","PLB","BDL","PMS","PDG","BTM","BAC","JBI","PKP","BKL","LSE","PJT"},Database!$AI$4:$AI$1048576,"=4",Database!$AG$4:$AG$1048576,"Apotek")),IF($I$5="Rumah Sakit",SUM(SUMIFS(Database!$AI$4:$AI$1048576,Database!$AC$4:$AC$1048576,$I$3,Database!$AE$4:$AE$1048576,{"JK2","MDN","TGR","PKB","PLB","BDL","PMS","PDG","BTM","BAC","JBI","PKP","BKL","LSE","PJT"},Database!$AI$4:$AI$1048576,"=4",Database!$AG$4:$AG$1048576,"Rumah sakit")),IF($I$5="Subdis",SUM(SUMIFS(Database!$AI$4:$AI$1048576,Database!$AC$4:$AC$1048576,$I$3,Database!$AE$4:$AE$1048576,{"JK2","MDN","TGR","PKB","PLB","BDL","PMS","PDG","BTM","BAC","JBI","PKP","BKL","LSE","PJT"},Database!$AI$4:$AI$1048576,"=4",Database!$AG$4:$AG$1048576,"Subdis")),0)))),IF($I$4="Tengah",IF($I$5="All",SUM(SUMIFS(Database!$AI$4:$AI$1048576,Database!$AC$4:$AC$1048576,$I$3,Database!$AE$4:$AE$1048576,{"JK1","JK3","BDG","SMG","BGR","YOG","SLO","CRB","PWK","BKS","KDS","TGL","TSK","SKI","BD2"},Database!$AI$4:$AI$1048576,"=4")),IF($I$5="Apotek",SUM(SUMIFS(Database!$AI$4:$AI$1048576,Database!$AC$4:$AC$1048576,$I$3,Database!$AE$4:$AE$1048576,{"JK1","JK3","BDG","SMG","BGR","YOG","SLO","CRB","PWK","BKS","KDS","TGL","TSK","SKI","BD2"},Database!$AI$4:$AI$1048576,"=4",Database!$AG$4:$AG$1048576,"Apotek")),IF($I$5="Rumah Sakit",SUM(SUMIFS(Database!$AI$4:$AI$1048576,Database!$AC$4:$AC$1048576,$I$3,Database!$AE$4:$AE$1048576,{"JK1","JK3","BDG","SMG","BGR","YOG","SLO","CRB","PWK","BKS","KDS","TGL","TSK","SKI","BD2"},Database!$AI$4:$AI$1048576,"=4",Database!$AG$4:$AG$1048576,"Rumah sakit")),IF($I$5="Subdis",SUM(SUMIFS(Database!$AI$4:$AI$1048576,Database!$AC$4:$AC$1048576,$I$3,Database!$AE$4:$AE$1048576,{"JK1","JK3","BDG","SMG","BGR","YOG","SLO","CRB","PWK","BKS","KDS","TGL","TSK","SKI","BD2"},Database!$AI$4:$AI$1048576,"=4",Database!$AG$4:$AG$1048576,"Subdis")),0)))),IF($I$4="Timur",IF($I$5="All",SUM(SUMIFS(Database!$AI$4:$AI$1048576,Database!$AC$4:$AC$1048576,$I$3,Database!$AE$4:$AE$1048576,{"SB1","SB2","BMS","MKS","DPS","KDR","MLG","SMD","PTK","JBR","MNO","JPU","MTR","BPP","KPG","PLU"},Database!$AI$4:$AI$1048576,"=4")),IF($I$5="Apotek",SUM(SUMIFS(Database!$AI$4:$AI$1048576,Database!$AC$4:$AC$1048576,$I$3,Database!$AE$4:$AE$1048576,{"SB1","SB2","BMS","MKS","DPS","KDR","MLG","SMD","PTK","JBR","MNO","JPU","MTR","BPP","KPG","PLU"},Database!$AI$4:$AI$1048576,"=4",Database!$AG$4:$AG$1048576,"Apotek")),IF($I$5="Rumah Sakit",SUM(SUMIFS(Database!$AI$4:$AI$1048576,Database!$AC$4:$AC$1048576,$I$3,Database!$AE$4:$AE$1048576,{"SB1","SB2","BMS","MKS","DPS","KDR","MLG","SMD","PTK","JBR","MNO","JPU","MTR","BPP","KPG","PLU"},Database!$AI$4:$AI$1048576,"=4",Database!$AG$4:$AG$1048576,"Rumah sakit")),IF($I$5="Subdis",SUM(SUMIFS(Database!$AI$4:$AI$1048576,Database!$AC$4:$AC$1048576,$I$3,Database!$AE$4:$AE$1048576,{"SB1","SB2","BMS","MKS","DPS","KDR","MLG","SMD","PTK","JBR","MNO","JPU","MTR","BPP","KPG","PLU"},Database!$AI$4:$AI$1048576,"=4",Database!$AG$4:$AG$1048576,"Subdis")),0)))))))/$E$8</f>
        <v>0</v>
      </c>
      <c r="L10" s="9">
        <f t="shared" ref="L10:L28" si="1">(H10*$H$8)+(I10*$I$8)+(J10*$J$8)+(K10*$K$8)</f>
        <v>0</v>
      </c>
      <c r="M10" s="10" t="e">
        <f t="shared" ref="M10:M28" si="2">L10/(K10+J10+I10+H10)</f>
        <v>#DIV/0!</v>
      </c>
      <c r="N10" s="10" t="e">
        <f t="shared" ref="N10:N28" si="3">+M10-G10</f>
        <v>#DIV/0!</v>
      </c>
      <c r="O10" s="32" t="e">
        <f t="shared" ref="O10:O28" si="4">RANK(N10,$N$9:$N$28,0)</f>
        <v>#DIV/0!</v>
      </c>
      <c r="P10" s="11" t="s">
        <v>53</v>
      </c>
      <c r="Q10" s="32" t="e">
        <f t="shared" ref="Q10:Q12" si="5">RANK(N10,$N$9:$N$12,0)</f>
        <v>#DIV/0!</v>
      </c>
      <c r="R10" s="81" t="e">
        <f t="shared" ref="R10:R28" si="6">RANK(G10,$G$9:$G$28)</f>
        <v>#DIV/0!</v>
      </c>
      <c r="S10" s="81" t="e">
        <f t="shared" ref="S10:S28" si="7">RANK(M10,$M$9:$M$28)</f>
        <v>#DIV/0!</v>
      </c>
      <c r="T10" s="81" t="e">
        <f t="shared" ref="T10:T12" si="8">RANK(G10,$G$9:$G$12)</f>
        <v>#DIV/0!</v>
      </c>
      <c r="U10" s="81" t="e">
        <f t="shared" ref="U10:U12" si="9">RANK(M10,$M$9:$M$12)</f>
        <v>#DIV/0!</v>
      </c>
      <c r="V10" s="257"/>
    </row>
    <row r="11" spans="1:22" ht="18" x14ac:dyDescent="0.35">
      <c r="A11" s="9" t="s">
        <v>16</v>
      </c>
      <c r="B11" s="23">
        <f>IF($I$4="Barat",IF($I$5="All",SUM(SUMIFS(Database!$I$4:$I$1048576,Database!$B$4:$B$1048576,$I$3,Database!$D$4:$D$1048576,{"JK2","MDN","TGR","PKB","PLB","BDL","PMS","PDG","BTM","BAC","JBI","PKP","BKL","LSE","PJT"},Database!$I$4:$I$1048576,"=1")),IF($I$5="Apotek",SUM(SUMIFS(Database!$I$4:$I$1048576,Database!$B$4:$B$1048576,$I$3,Database!$D$4:$D$1048576,{"JK2","MDN","TGR","PKB","PLB","BDL","PMS","PDG","BTM","BAC","JBI","PKP","BKL","LSE","PJT"},Database!$I$4:$I$1048576,"=1",Database!$F$4:$F$1048576,"Apotek")),IF($I$5="Rumah Sakit",SUM(SUMIFS(Database!$I$4:$I$1048576,Database!$B$4:$B$1048576,$I$3,Database!$D$4:$D$1048576,{"JK2","MDN","TGR","PKB","PLB","BDL","PMS","PDG","BTM","BAC","JBI","PKP","BKL","LSE","PJT"},Database!$I$4:$I$1048576,"=1",Database!$F$4:$F$1048576,"Rumah sakit")),IF($I$5="Subdis",SUM(SUMIFS(Database!$I$4:$I$1048576,Database!$B$4:$B$1048576,$I$3,Database!$D$4:$D$1048576,{"JK2","MDN","TGR","PKB","PLB","BDL","PMS","PDG","BTM","BAC","JBI","PKP","BKL","LSE","PJT"},Database!$I$4:$I$1048576,"=1",Database!$F$4:$F$1048576,"Subdis")),0)))),IF($I$4="Tengah",IF($I$5="All",SUM(SUMIFS(Database!$I$4:$I$1048576,Database!$B$4:$B$1048576,$I$3,Database!$D$4:$D$1048576,{"JK1","JK3","BDG","SMG","BGR","YOG","SLO","CRB","PWK","BKS","KDS","TGL","TSK","SKI","BD2"},Database!$I$4:$I$1048576,"=1")),IF($I$5="Apotek",SUM(SUMIFS(Database!$I$4:$I$1048576,Database!$B$4:$B$1048576,$I$3,Database!$D$4:$D$1048576,{"JK1","JK3","BDG","SMG","BGR","YOG","SLO","CRB","PWK","BKS","KDS","TGL","TSK","SKI","BD2"},Database!$I$4:$I$1048576,"=1",Database!$F$4:$F$1048576,"Apotek")),IF($I$5="Rumah Sakit",SUM(SUMIFS(Database!$I$4:$I$1048576,Database!$B$4:$B$1048576,$I$3,Database!$D$4:$D$1048576,{"JK1","JK3","BDG","SMG","BGR","YOG","SLO","CRB","PWK","BKS","KDS","TGL","TSK","SKI","BD2"},Database!$I$4:$I$1048576,"=1",Database!$F$4:$F$1048576,"Rumah sakit")),IF($I$5="Subdis",SUM(SUMIFS(Database!$I$4:$I$1048576,Database!$B$4:$B$1048576,$I$3,Database!$D$4:$D$1048576,{"JK1","JK3","BDG","SMG","BGR","YOG","SLO","CRB","PWK","BKS","KDS","TGL","TSK","SKI","BD2"},Database!$I$4:$I$1048576,"=1",Database!$F$4:$F$1048576,"Subdis")),0)))),IF($I$4="Timur",IF($I$5="All",SUM(SUMIFS(Database!$I$4:$I$1048576,Database!$B$4:$B$1048576,$I$3,Database!$D$4:$D$1048576,{"SB1","SB2","BMS","MKS","DPS","KDR","MLG","SMD","PTK","JBR","MNO","JPU","MTR","BPP","KPG","PLU"},Database!$I$4:$I$1048576,"=1")),IF($I$5="Apotek",SUM(SUMIFS(Database!$I$4:$I$1048576,Database!$B$4:$B$1048576,$I$3,Database!$D$4:$D$1048576,{"SB1","SB2","BMS","MKS","DPS","KDR","MLG","SMD","PTK","JBR","MNO","JPU","MTR","BPP","KPG","PLU"},Database!$I$4:$I$1048576,"=1",Database!$F$4:$F$1048576,"Apotek")),IF($I$5="Rumah Sakit",SUM(SUMIFS(Database!$I$4:$I$1048576,Database!$B$4:$B$1048576,$I$3,Database!$D$4:$D$1048576,{"SB1","SB2","BMS","MKS","DPS","KDR","MLG","SMD","PTK","JBR","MNO","JPU","MTR","BPP","KPG","PLU"},Database!$I$4:$I$1048576,"=1",Database!$F$4:$F$1048576,"Rumah sakit")),IF($I$5="Subdis",SUM(SUMIFS(Database!$I$4:$I$1048576,Database!$B$4:$B$1048576,$I$3,Database!$D$4:$D$1048576,{"SB1","SB2","BMS","MKS","DPS","KDR","MLG","SMD","PTK","JBR","MNO","JPU","MTR","BPP","KPG","PLU"},Database!$I$4:$I$1048576,"=1",Database!$F$4:$F$1048576,"Subdis")),0)))))))/$B$8</f>
        <v>0</v>
      </c>
      <c r="C11" s="23">
        <f>IF($I$4="Barat",IF($I$5="All",SUM(SUMIFS(Database!$I$4:$I$1048576,Database!$B$4:$B$1048576,$I$3,Database!$D$4:$D$1048576,{"JK2","MDN","TGR","PKB","PLB","BDL","PMS","PDG","BTM","BAC","JBI","PKP","BKL","LSE","PJT"},Database!$I$4:$I$1048576,"=2")),IF($I$5="Apotek",SUM(SUMIFS(Database!$I$4:$I$1048576,Database!$B$4:$B$1048576,$I$3,Database!$D$4:$D$1048576,{"JK2","MDN","TGR","PKB","PLB","BDL","PMS","PDG","BTM","BAC","JBI","PKP","BKL","LSE","PJT"},Database!$I$4:$I$1048576,"=2",Database!$F$4:$F$1048576,"Apotek")),IF($I$5="Rumah Sakit",SUM(SUMIFS(Database!$I$4:$I$1048576,Database!$B$4:$B$1048576,$I$3,Database!$D$4:$D$1048576,{"JK2","MDN","TGR","PKB","PLB","BDL","PMS","PDG","BTM","BAC","JBI","PKP","BKL","LSE","PJT"},Database!$I$4:$I$1048576,"=2",Database!$F$4:$F$1048576,"Rumah sakit")),IF($I$5="Subdis",SUM(SUMIFS(Database!$I$4:$I$1048576,Database!$B$4:$B$1048576,$I$3,Database!$D$4:$D$1048576,{"JK2","MDN","TGR","PKB","PLB","BDL","PMS","PDG","BTM","BAC","JBI","PKP","BKL","LSE","PJT"},Database!$I$4:$I$1048576,"=2",Database!$F$4:$F$1048576,"Subdis")),0)))),IF($I$4="Tengah",IF($I$5="All",SUM(SUMIFS(Database!$I$4:$I$1048576,Database!$B$4:$B$1048576,$I$3,Database!$D$4:$D$1048576,{"JK1","JK3","BDG","SMG","BGR","YOG","SLO","CRB","PWK","BKS","KDS","TGL","TSK","SKI","BD2"},Database!$I$4:$I$1048576,"=2")),IF($I$5="Apotek",SUM(SUMIFS(Database!$I$4:$I$1048576,Database!$B$4:$B$1048576,$I$3,Database!$D$4:$D$1048576,{"JK1","JK3","BDG","SMG","BGR","YOG","SLO","CRB","PWK","BKS","KDS","TGL","TSK","SKI","BD2"},Database!$I$4:$I$1048576,"=2",Database!$F$4:$F$1048576,"Apotek")),IF($I$5="Rumah Sakit",SUM(SUMIFS(Database!$I$4:$I$1048576,Database!$B$4:$B$1048576,$I$3,Database!$D$4:$D$1048576,{"JK1","JK3","BDG","SMG","BGR","YOG","SLO","CRB","PWK","BKS","KDS","TGL","TSK","SKI","BD2"},Database!$I$4:$I$1048576,"=2",Database!$F$4:$F$1048576,"Rumah sakit")),IF($I$5="Subdis",SUM(SUMIFS(Database!$I$4:$I$1048576,Database!$B$4:$B$1048576,$I$3,Database!$D$4:$D$1048576,{"JK1","JK3","BDG","SMG","BGR","YOG","SLO","CRB","PWK","BKS","KDS","TGL","TSK","SKI","BD2"},Database!$I$4:$I$1048576,"=2",Database!$F$4:$F$1048576,"Subdis")),0)))),IF($I$4="Timur",IF($I$5="All",SUM(SUMIFS(Database!$I$4:$I$1048576,Database!$B$4:$B$1048576,$I$3,Database!$D$4:$D$1048576,{"SB1","SB2","BMS","MKS","DPS","KDR","MLG","SMD","PTK","JBR","MNO","JPU","MTR","BPP","KPG","PLU"},Database!$I$4:$I$1048576,"=2")),IF($I$5="Apotek",SUM(SUMIFS(Database!$I$4:$I$1048576,Database!$B$4:$B$1048576,$I$3,Database!$D$4:$D$1048576,{"SB1","SB2","BMS","MKS","DPS","KDR","MLG","SMD","PTK","JBR","MNO","JPU","MTR","BPP","KPG","PLU"},Database!$I$4:$I$1048576,"=2",Database!$F$4:$F$1048576,"Apotek")),IF($I$5="Rumah Sakit",SUM(SUMIFS(Database!$I$4:$I$1048576,Database!$B$4:$B$1048576,$I$3,Database!$D$4:$D$1048576,{"SB1","SB2","BMS","MKS","DPS","KDR","MLG","SMD","PTK","JBR","MNO","JPU","MTR","BPP","KPG","PLU"},Database!$I$4:$I$1048576,"=2",Database!$F$4:$F$1048576,"Rumah sakit")),IF($I$5="Subdis",SUM(SUMIFS(Database!$I$4:$I$1048576,Database!$B$4:$B$1048576,$I$3,Database!$D$4:$D$1048576,{"SB1","SB2","BMS","MKS","DPS","KDR","MLG","SMD","PTK","JBR","MNO","JPU","MTR","BPP","KPG","PLU"},Database!$I$4:$I$1048576,"=2",Database!$F$4:$F$1048576,"Subdis")),0)))))))/$C$8</f>
        <v>0</v>
      </c>
      <c r="D11" s="23">
        <f>IF($I$4="Barat",IF($I$5="All",SUM(SUMIFS(Database!$I$4:$I$1048576,Database!$B$4:$B$1048576,$I$3,Database!$D$4:$D$1048576,{"JK2","MDN","TGR","PKB","PLB","BDL","PMS","PDG","BTM","BAC","JBI","PKP","BKL","LSE","PJT"},Database!$I$4:$I$1048576,"=3")),IF($I$5="Apotek",SUM(SUMIFS(Database!$I$4:$I$1048576,Database!$B$4:$B$1048576,$I$3,Database!$D$4:$D$1048576,{"JK2","MDN","TGR","PKB","PLB","BDL","PMS","PDG","BTM","BAC","JBI","PKP","BKL","LSE","PJT"},Database!$I$4:$I$1048576,"=3",Database!$F$4:$F$1048576,"Apotek")),IF($I$5="Rumah Sakit",SUM(SUMIFS(Database!$I$4:$I$1048576,Database!$B$4:$B$1048576,$I$3,Database!$D$4:$D$1048576,{"JK2","MDN","TGR","PKB","PLB","BDL","PMS","PDG","BTM","BAC","JBI","PKP","BKL","LSE","PJT"},Database!$I$4:$I$1048576,"=3",Database!$F$4:$F$1048576,"Rumah sakit")),IF($I$5="Subdis",SUM(SUMIFS(Database!$I$4:$I$1048576,Database!$B$4:$B$1048576,$I$3,Database!$D$4:$D$1048576,{"JK2","MDN","TGR","PKB","PLB","BDL","PMS","PDG","BTM","BAC","JBI","PKP","BKL","LSE","PJT"},Database!$I$4:$I$1048576,"=3",Database!$F$4:$F$1048576,"Subdis")),0)))),IF($I$4="Tengah",IF($I$5="All",SUM(SUMIFS(Database!$I$4:$I$1048576,Database!$B$4:$B$1048576,$I$3,Database!$D$4:$D$1048576,{"JK1","JK3","BDG","SMG","BGR","YOG","SLO","CRB","PWK","BKS","KDS","TGL","TSK","SKI","BD2"},Database!$I$4:$I$1048576,"=3")),IF($I$5="Apotek",SUM(SUMIFS(Database!$I$4:$I$1048576,Database!$B$4:$B$1048576,$I$3,Database!$D$4:$D$1048576,{"JK1","JK3","BDG","SMG","BGR","YOG","SLO","CRB","PWK","BKS","KDS","TGL","TSK","SKI","BD2"},Database!$I$4:$I$1048576,"=3",Database!$F$4:$F$1048576,"Apotek")),IF($I$5="Rumah Sakit",SUM(SUMIFS(Database!$I$4:$I$1048576,Database!$B$4:$B$1048576,$I$3,Database!$D$4:$D$1048576,{"JK1","JK3","BDG","SMG","BGR","YOG","SLO","CRB","PWK","BKS","KDS","TGL","TSK","SKI","BD2"},Database!$I$4:$I$1048576,"=3",Database!$F$4:$F$1048576,"Rumah sakit")),IF($I$5="Subdis",SUM(SUMIFS(Database!$I$4:$I$1048576,Database!$B$4:$B$1048576,$I$3,Database!$D$4:$D$1048576,{"JK1","JK3","BDG","SMG","BGR","YOG","SLO","CRB","PWK","BKS","KDS","TGL","TSK","SKI","BD2"},Database!$I$4:$I$1048576,"=3",Database!$F$4:$F$1048576,"Subdis")),0)))),IF($I$4="Timur",IF($I$5="All",SUM(SUMIFS(Database!$I$4:$I$1048576,Database!$B$4:$B$1048576,$I$3,Database!$D$4:$D$1048576,{"SB1","SB2","BMS","MKS","DPS","KDR","MLG","SMD","PTK","JBR","MNO","JPU","MTR","BPP","KPG","PLU"},Database!$I$4:$I$1048576,"=3")),IF($I$5="Apotek",SUM(SUMIFS(Database!$I$4:$I$1048576,Database!$B$4:$B$1048576,$I$3,Database!$D$4:$D$1048576,{"SB1","SB2","BMS","MKS","DPS","KDR","MLG","SMD","PTK","JBR","MNO","JPU","MTR","BPP","KPG","PLU"},Database!$I$4:$I$1048576,"=3",Database!$F$4:$F$1048576,"Apotek")),IF($I$5="Rumah Sakit",SUM(SUMIFS(Database!$I$4:$I$1048576,Database!$B$4:$B$1048576,$I$3,Database!$D$4:$D$1048576,{"SB1","SB2","BMS","MKS","DPS","KDR","MLG","SMD","PTK","JBR","MNO","JPU","MTR","BPP","KPG","PLU"},Database!$I$4:$I$1048576,"=3",Database!$F$4:$F$1048576,"Rumah sakit")),IF($I$5="Subdis",SUM(SUMIFS(Database!$I$4:$I$1048576,Database!$B$4:$B$1048576,$I$3,Database!$D$4:$D$1048576,{"SB1","SB2","BMS","MKS","DPS","KDR","MLG","SMD","PTK","JBR","MNO","JPU","MTR","BPP","KPG","PLU"},Database!$I$4:$I$1048576,"=3",Database!$F$4:$F$1048576,"Subdis")),0)))))))/$D$8</f>
        <v>0</v>
      </c>
      <c r="E11" s="23">
        <f>IF($I$4="Barat",IF($I$5="All",SUM(SUMIFS(Database!$I$4:$I$1048576,Database!$B$4:$B$1048576,$I$3,Database!$D$4:$D$1048576,{"JK2","MDN","TGR","PKB","PLB","BDL","PMS","PDG","BTM","BAC","JBI","PKP","BKL","LSE","PJT"},Database!$I$4:$I$1048576,"=4")),IF($I$5="Apotek",SUM(SUMIFS(Database!$I$4:$I$1048576,Database!$B$4:$B$1048576,$I$3,Database!$D$4:$D$1048576,{"JK2","MDN","TGR","PKB","PLB","BDL","PMS","PDG","BTM","BAC","JBI","PKP","BKL","LSE","PJT"},Database!$I$4:$I$1048576,"=4",Database!$F$4:$F$1048576,"Apotek")),IF($I$5="Rumah Sakit",SUM(SUMIFS(Database!$I$4:$I$1048576,Database!$B$4:$B$1048576,$I$3,Database!$D$4:$D$1048576,{"JK2","MDN","TGR","PKB","PLB","BDL","PMS","PDG","BTM","BAC","JBI","PKP","BKL","LSE","PJT"},Database!$I$4:$I$1048576,"=4",Database!$F$4:$F$1048576,"Rumah sakit")),IF($I$5="Subdis",SUM(SUMIFS(Database!$I$4:$I$1048576,Database!$B$4:$B$1048576,$I$3,Database!$D$4:$D$1048576,{"JK2","MDN","TGR","PKB","PLB","BDL","PMS","PDG","BTM","BAC","JBI","PKP","BKL","LSE","PJT"},Database!$I$4:$I$1048576,"=4",Database!$F$4:$F$1048576,"Subdis")),0)))),IF($I$4="Tengah",IF($I$5="All",SUM(SUMIFS(Database!$I$4:$I$1048576,Database!$B$4:$B$1048576,$I$3,Database!$D$4:$D$1048576,{"JK1","JK3","BDG","SMG","BGR","YOG","SLO","CRB","PWK","BKS","KDS","TGL","TSK","SKI","BD2"},Database!$I$4:$I$1048576,"=4")),IF($I$5="Apotek",SUM(SUMIFS(Database!$I$4:$I$1048576,Database!$B$4:$B$1048576,$I$3,Database!$D$4:$D$1048576,{"JK1","JK3","BDG","SMG","BGR","YOG","SLO","CRB","PWK","BKS","KDS","TGL","TSK","SKI","BD2"},Database!$I$4:$I$1048576,"=4",Database!$F$4:$F$1048576,"Apotek")),IF($I$5="Rumah Sakit",SUM(SUMIFS(Database!$I$4:$I$1048576,Database!$B$4:$B$1048576,$I$3,Database!$D$4:$D$1048576,{"JK1","JK3","BDG","SMG","BGR","YOG","SLO","CRB","PWK","BKS","KDS","TGL","TSK","SKI","BD2"},Database!$I$4:$I$1048576,"=4",Database!$F$4:$F$1048576,"Rumah sakit")),IF($I$5="Subdis",SUM(SUMIFS(Database!$I$4:$I$1048576,Database!$B$4:$B$1048576,$I$3,Database!$D$4:$D$1048576,{"JK1","JK3","BDG","SMG","BGR","YOG","SLO","CRB","PWK","BKS","KDS","TGL","TSK","SKI","BD2"},Database!$I$4:$I$1048576,"=4",Database!$F$4:$F$1048576,"Subdis")),0)))),IF($I$4="Timur",IF($I$5="All",SUM(SUMIFS(Database!$I$4:$I$1048576,Database!$B$4:$B$1048576,$I$3,Database!$D$4:$D$1048576,{"SB1","SB2","BMS","MKS","DPS","KDR","MLG","SMD","PTK","JBR","MNO","JPU","MTR","BPP","KPG","PLU"},Database!$I$4:$I$1048576,"=4")),IF($I$5="Apotek",SUM(SUMIFS(Database!$I$4:$I$1048576,Database!$B$4:$B$1048576,$I$3,Database!$D$4:$D$1048576,{"SB1","SB2","BMS","MKS","DPS","KDR","MLG","SMD","PTK","JBR","MNO","JPU","MTR","BPP","KPG","PLU"},Database!$I$4:$I$1048576,"=4",Database!$F$4:$F$1048576,"Apotek")),IF($I$5="Rumah Sakit",SUM(SUMIFS(Database!$I$4:$I$1048576,Database!$B$4:$B$1048576,$I$3,Database!$D$4:$D$1048576,{"SB1","SB2","BMS","MKS","DPS","KDR","MLG","SMD","PTK","JBR","MNO","JPU","MTR","BPP","KPG","PLU"},Database!$I$4:$I$1048576,"=4",Database!$F$4:$F$1048576,"Rumah sakit")),IF($I$5="Subdis",SUM(SUMIFS(Database!$I$4:$I$1048576,Database!$B$4:$B$1048576,$I$3,Database!$D$4:$D$1048576,{"SB1","SB2","BMS","MKS","DPS","KDR","MLG","SMD","PTK","JBR","MNO","JPU","MTR","BPP","KPG","PLU"},Database!$I$4:$I$1048576,"=4",Database!$F$4:$F$1048576,"Subdis")),0)))))))/$E$8</f>
        <v>0</v>
      </c>
      <c r="F11" s="9">
        <f>(B11*$B$8)+(C11*$C$8)+(D11*$D$8)+(E11*$E$8)</f>
        <v>0</v>
      </c>
      <c r="G11" s="10" t="e">
        <f t="shared" ref="G11:G28" si="10">F11/(E11+D11+C11+B11)</f>
        <v>#DIV/0!</v>
      </c>
      <c r="H11" s="23">
        <f>IF($I$4="Barat",IF($I$5="All",SUM(SUMIFS(Database!$AJ$4:$AJ$1048576,Database!$AC$4:$AC$1048576,$I$3,Database!$AE$4:$AE$1048576,{"JK2","MDN","TGR","PKB","PLB","BDL","PMS","PDG","BTM","BAC","JBI","PKP","BKL","LSE","PJT"},Database!$AJ$4:$AJ$1048576,"=1")),IF($I$5="Apotek",SUM(SUMIFS(Database!$AJ$4:$AJ$1048576,Database!$AC$4:$AC$1048576,$I$3,Database!$AE$4:$AE$1048576,{"JK2","MDN","TGR","PKB","PLB","BDL","PMS","PDG","BTM","BAC","JBI","PKP","BKL","LSE","PJT"},Database!$AJ$4:$AJ$1048576,"=1",Database!$AG$4:$AG$1048576,"Apotek")),IF($I$5="Rumah Sakit",SUM(SUMIFS(Database!$AJ$4:$AJ$1048576,Database!$AC$4:$AC$1048576,$I$3,Database!$AE$4:$AE$1048576,{"JK2","MDN","TGR","PKB","PLB","BDL","PMS","PDG","BTM","BAC","JBI","PKP","BKL","LSE","PJT"},Database!$AJ$4:$AJ$1048576,"=1",Database!$AG$4:$AG$1048576,"Rumah sakit")),IF($I$5="Subdis",SUM(SUMIFS(Database!$AJ$4:$AJ$1048576,Database!$AC$4:$AC$1048576,$I$3,Database!$AE$4:$AE$1048576,{"JK2","MDN","TGR","PKB","PLB","BDL","PMS","PDG","BTM","BAC","JBI","PKP","BKL","LSE","PJT"},Database!$AJ$4:$AJ$1048576,"=1",Database!$AG$4:$AG$1048576,"Subdis")),0)))),IF($I$4="Tengah",IF($I$5="All",SUM(SUMIFS(Database!$AJ$4:$AJ$1048576,Database!$AC$4:$AC$1048576,$I$3,Database!$AE$4:$AE$1048576,{"JK1","JK3","BDG","SMG","BGR","YOG","SLO","CRB","PWK","BKS","KDS","TGL","TSK","SKI","BD2"},Database!$AJ$4:$AJ$1048576,"=1")),IF($I$5="Apotek",SUM(SUMIFS(Database!$AJ$4:$AJ$1048576,Database!$AC$4:$AC$1048576,$I$3,Database!$AE$4:$AE$1048576,{"JK1","JK3","BDG","SMG","BGR","YOG","SLO","CRB","PWK","BKS","KDS","TGL","TSK","SKI","BD2"},Database!$AJ$4:$AJ$1048576,"=1",Database!$AG$4:$AG$1048576,"Apotek")),IF($I$5="Rumah Sakit",SUM(SUMIFS(Database!$AJ$4:$AJ$1048576,Database!$AC$4:$AC$1048576,$I$3,Database!$AE$4:$AE$1048576,{"JK1","JK3","BDG","SMG","BGR","YOG","SLO","CRB","PWK","BKS","KDS","TGL","TSK","SKI","BD2"},Database!$AJ$4:$AJ$1048576,"=1",Database!$AG$4:$AG$1048576,"Rumah sakit")),IF($I$5="Subdis",SUM(SUMIFS(Database!$AJ$4:$AJ$1048576,Database!$AC$4:$AC$1048576,$I$3,Database!$AE$4:$AE$1048576,{"JK1","JK3","BDG","SMG","BGR","YOG","SLO","CRB","PWK","BKS","KDS","TGL","TSK","SKI","BD2"},Database!$AJ$4:$AJ$1048576,"=1",Database!$AG$4:$AG$1048576,"Subdis")),0)))),IF($I$4="Timur",IF($I$5="All",SUM(SUMIFS(Database!$AJ$4:$AJ$1048576,Database!$AC$4:$AC$1048576,$I$3,Database!$AE$4:$AE$1048576,{"SB1","SB2","BMS","MKS","DPS","KDR","MLG","SMD","PTK","JBR","MNO","JPU","MTR","BPP","KPG","PLU"},Database!$AJ$4:$AJ$1048576,"=1")),IF($I$5="Apotek",SUM(SUMIFS(Database!$AJ$4:$AJ$1048576,Database!$AC$4:$AC$1048576,$I$3,Database!$AE$4:$AE$1048576,{"SB1","SB2","BMS","MKS","DPS","KDR","MLG","SMD","PTK","JBR","MNO","JPU","MTR","BPP","KPG","PLU"},Database!$AJ$4:$AJ$1048576,"=1",Database!$AG$4:$AG$1048576,"Apotek")),IF($I$5="Rumah Sakit",SUM(SUMIFS(Database!$AJ$4:$AJ$1048576,Database!$AC$4:$AC$1048576,$I$3,Database!$AE$4:$AE$1048576,{"SB1","SB2","BMS","MKS","DPS","KDR","MLG","SMD","PTK","JBR","MNO","JPU","MTR","BPP","KPG","PLU"},Database!$AJ$4:$AJ$1048576,"=1",Database!$AG$4:$AG$1048576,"Rumah sakit")),IF($I$5="Subdis",SUM(SUMIFS(Database!$AJ$4:$AJ$1048576,Database!$AC$4:$AC$1048576,$I$3,Database!$AE$4:$AE$1048576,{"SB1","SB2","BMS","MKS","DPS","KDR","MLG","SMD","PTK","JBR","MNO","JPU","MTR","BPP","KPG","PLU"},Database!$AJ$4:$AJ$1048576,"=1",Database!$AG$4:$AG$1048576,"Subdis")),0)))))))/$B$8</f>
        <v>0</v>
      </c>
      <c r="I11" s="23">
        <f>IF($I$4="Barat",IF($I$5="All",SUM(SUMIFS(Database!$AJ$4:$AJ$1048576,Database!$AC$4:$AC$1048576,$I$3,Database!$AE$4:$AE$1048576,{"JK2","MDN","TGR","PKB","PLB","BDL","PMS","PDG","BTM","BAC","JBI","PKP","BKL","LSE","PJT"},Database!$AJ$4:$AJ$1048576,"=2")),IF($I$5="Apotek",SUM(SUMIFS(Database!$AJ$4:$AJ$1048576,Database!$AC$4:$AC$1048576,$I$3,Database!$AE$4:$AE$1048576,{"JK2","MDN","TGR","PKB","PLB","BDL","PMS","PDG","BTM","BAC","JBI","PKP","BKL","LSE","PJT"},Database!$AJ$4:$AJ$1048576,"=2",Database!$AG$4:$AG$1048576,"Apotek")),IF($I$5="Rumah Sakit",SUM(SUMIFS(Database!$AJ$4:$AJ$1048576,Database!$AC$4:$AC$1048576,$I$3,Database!$AE$4:$AE$1048576,{"JK2","MDN","TGR","PKB","PLB","BDL","PMS","PDG","BTM","BAC","JBI","PKP","BKL","LSE","PJT"},Database!$AJ$4:$AJ$1048576,"=2",Database!$AG$4:$AG$1048576,"Rumah sakit")),IF($I$5="Subdis",SUM(SUMIFS(Database!$AJ$4:$AJ$1048576,Database!$AC$4:$AC$1048576,$I$3,Database!$AE$4:$AE$1048576,{"JK2","MDN","TGR","PKB","PLB","BDL","PMS","PDG","BTM","BAC","JBI","PKP","BKL","LSE","PJT"},Database!$AJ$4:$AJ$1048576,"=2",Database!$AG$4:$AG$1048576,"Subdis")),0)))),IF($I$4="Tengah",IF($I$5="All",SUM(SUMIFS(Database!$AJ$4:$AJ$1048576,Database!$AC$4:$AC$1048576,$I$3,Database!$AE$4:$AE$1048576,{"JK1","JK3","BDG","SMG","BGR","YOG","SLO","CRB","PWK","BKS","KDS","TGL","TSK","SKI","BD2"},Database!$AJ$4:$AJ$1048576,"=2")),IF($I$5="Apotek",SUM(SUMIFS(Database!$AJ$4:$AJ$1048576,Database!$AC$4:$AC$1048576,$I$3,Database!$AE$4:$AE$1048576,{"JK1","JK3","BDG","SMG","BGR","YOG","SLO","CRB","PWK","BKS","KDS","TGL","TSK","SKI","BD2"},Database!$AJ$4:$AJ$1048576,"=2",Database!$AG$4:$AG$1048576,"Apotek")),IF($I$5="Rumah Sakit",SUM(SUMIFS(Database!$AJ$4:$AJ$1048576,Database!$AC$4:$AC$1048576,$I$3,Database!$AE$4:$AE$1048576,{"JK1","JK3","BDG","SMG","BGR","YOG","SLO","CRB","PWK","BKS","KDS","TGL","TSK","SKI","BD2"},Database!$AJ$4:$AJ$1048576,"=2",Database!$AG$4:$AG$1048576,"Rumah sakit")),IF($I$5="Subdis",SUM(SUMIFS(Database!$AJ$4:$AJ$1048576,Database!$AC$4:$AC$1048576,$I$3,Database!$AE$4:$AE$1048576,{"JK1","JK3","BDG","SMG","BGR","YOG","SLO","CRB","PWK","BKS","KDS","TGL","TSK","SKI","BD2"},Database!$AJ$4:$AJ$1048576,"=2",Database!$AG$4:$AG$1048576,"Subdis")),0)))),IF($I$4="Timur",IF($I$5="All",SUM(SUMIFS(Database!$AJ$4:$AJ$1048576,Database!$AC$4:$AC$1048576,$I$3,Database!$AE$4:$AE$1048576,{"SB1","SB2","BMS","MKS","DPS","KDR","MLG","SMD","PTK","JBR","MNO","JPU","MTR","BPP","KPG","PLU"},Database!$AJ$4:$AJ$1048576,"=2")),IF($I$5="Apotek",SUM(SUMIFS(Database!$AJ$4:$AJ$1048576,Database!$AC$4:$AC$1048576,$I$3,Database!$AE$4:$AE$1048576,{"SB1","SB2","BMS","MKS","DPS","KDR","MLG","SMD","PTK","JBR","MNO","JPU","MTR","BPP","KPG","PLU"},Database!$AJ$4:$AJ$1048576,"=2",Database!$AG$4:$AG$1048576,"Apotek")),IF($I$5="Rumah Sakit",SUM(SUMIFS(Database!$AJ$4:$AJ$1048576,Database!$AC$4:$AC$1048576,$I$3,Database!$AE$4:$AE$1048576,{"SB1","SB2","BMS","MKS","DPS","KDR","MLG","SMD","PTK","JBR","MNO","JPU","MTR","BPP","KPG","PLU"},Database!$AJ$4:$AJ$1048576,"=2",Database!$AG$4:$AG$1048576,"Rumah sakit")),IF($I$5="Subdis",SUM(SUMIFS(Database!$AJ$4:$AJ$1048576,Database!$AC$4:$AC$1048576,$I$3,Database!$AE$4:$AE$1048576,{"SB1","SB2","BMS","MKS","DPS","KDR","MLG","SMD","PTK","JBR","MNO","JPU","MTR","BPP","KPG","PLU"},Database!$AJ$4:$AJ$1048576,"=2",Database!$AG$4:$AG$1048576,"Subdis")),0)))))))/$C$8</f>
        <v>0</v>
      </c>
      <c r="J11" s="23">
        <f>IF($I$4="Barat",IF($I$5="All",SUM(SUMIFS(Database!$AJ$4:$AJ$1048576,Database!$AC$4:$AC$1048576,$I$3,Database!$AE$4:$AE$1048576,{"JK2","MDN","TGR","PKB","PLB","BDL","PMS","PDG","BTM","BAC","JBI","PKP","BKL","LSE","PJT"},Database!$AJ$4:$AJ$1048576,"=3")),IF($I$5="Apotek",SUM(SUMIFS(Database!$AJ$4:$AJ$1048576,Database!$AC$4:$AC$1048576,$I$3,Database!$AE$4:$AE$1048576,{"JK2","MDN","TGR","PKB","PLB","BDL","PMS","PDG","BTM","BAC","JBI","PKP","BKL","LSE","PJT"},Database!$AJ$4:$AJ$1048576,"=3",Database!$AG$4:$AG$1048576,"Apotek")),IF($I$5="Rumah Sakit",SUM(SUMIFS(Database!$AJ$4:$AJ$1048576,Database!$AC$4:$AC$1048576,$I$3,Database!$AE$4:$AE$1048576,{"JK2","MDN","TGR","PKB","PLB","BDL","PMS","PDG","BTM","BAC","JBI","PKP","BKL","LSE","PJT"},Database!$AJ$4:$AJ$1048576,"=3",Database!$AG$4:$AG$1048576,"Rumah sakit")),IF($I$5="Subdis",SUM(SUMIFS(Database!$AJ$4:$AJ$1048576,Database!$AC$4:$AC$1048576,$I$3,Database!$AE$4:$AE$1048576,{"JK2","MDN","TGR","PKB","PLB","BDL","PMS","PDG","BTM","BAC","JBI","PKP","BKL","LSE","PJT"},Database!$AJ$4:$AJ$1048576,"=3",Database!$AG$4:$AG$1048576,"Subdis")),0)))),IF($I$4="Tengah",IF($I$5="All",SUM(SUMIFS(Database!$AJ$4:$AJ$1048576,Database!$AC$4:$AC$1048576,$I$3,Database!$AE$4:$AE$1048576,{"JK1","JK3","BDG","SMG","BGR","YOG","SLO","CRB","PWK","BKS","KDS","TGL","TSK","SKI","BD2"},Database!$AJ$4:$AJ$1048576,"=3")),IF($I$5="Apotek",SUM(SUMIFS(Database!$AJ$4:$AJ$1048576,Database!$AC$4:$AC$1048576,$I$3,Database!$AE$4:$AE$1048576,{"JK1","JK3","BDG","SMG","BGR","YOG","SLO","CRB","PWK","BKS","KDS","TGL","TSK","SKI","BD2"},Database!$AJ$4:$AJ$1048576,"=3",Database!$AG$4:$AG$1048576,"Apotek")),IF($I$5="Rumah Sakit",SUM(SUMIFS(Database!$AJ$4:$AJ$1048576,Database!$AC$4:$AC$1048576,$I$3,Database!$AE$4:$AE$1048576,{"JK1","JK3","BDG","SMG","BGR","YOG","SLO","CRB","PWK","BKS","KDS","TGL","TSK","SKI","BD2"},Database!$AJ$4:$AJ$1048576,"=3",Database!$AG$4:$AG$1048576,"Rumah sakit")),IF($I$5="Subdis",SUM(SUMIFS(Database!$AJ$4:$AJ$1048576,Database!$AC$4:$AC$1048576,$I$3,Database!$AE$4:$AE$1048576,{"JK1","JK3","BDG","SMG","BGR","YOG","SLO","CRB","PWK","BKS","KDS","TGL","TSK","SKI","BD2"},Database!$AJ$4:$AJ$1048576,"=3",Database!$AG$4:$AG$1048576,"Subdis")),0)))),IF($I$4="Timur",IF($I$5="All",SUM(SUMIFS(Database!$AJ$4:$AJ$1048576,Database!$AC$4:$AC$1048576,$I$3,Database!$AE$4:$AE$1048576,{"SB1","SB2","BMS","MKS","DPS","KDR","MLG","SMD","PTK","JBR","MNO","JPU","MTR","BPP","KPG","PLU"},Database!$AJ$4:$AJ$1048576,"=3")),IF($I$5="Apotek",SUM(SUMIFS(Database!$AJ$4:$AJ$1048576,Database!$AC$4:$AC$1048576,$I$3,Database!$AE$4:$AE$1048576,{"SB1","SB2","BMS","MKS","DPS","KDR","MLG","SMD","PTK","JBR","MNO","JPU","MTR","BPP","KPG","PLU"},Database!$AJ$4:$AJ$1048576,"=3",Database!$AG$4:$AG$1048576,"Apotek")),IF($I$5="Rumah Sakit",SUM(SUMIFS(Database!$AJ$4:$AJ$1048576,Database!$AC$4:$AC$1048576,$I$3,Database!$AE$4:$AE$1048576,{"SB1","SB2","BMS","MKS","DPS","KDR","MLG","SMD","PTK","JBR","MNO","JPU","MTR","BPP","KPG","PLU"},Database!$AJ$4:$AJ$1048576,"=3",Database!$AG$4:$AG$1048576,"Rumah sakit")),IF($I$5="Subdis",SUM(SUMIFS(Database!$AJ$4:$AJ$1048576,Database!$AC$4:$AC$1048576,$I$3,Database!$AE$4:$AE$1048576,{"SB1","SB2","BMS","MKS","DPS","KDR","MLG","SMD","PTK","JBR","MNO","JPU","MTR","BPP","KPG","PLU"},Database!$AJ$4:$AJ$1048576,"=3",Database!$AG$4:$AG$1048576,"Subdis")),0)))))))/$D$8</f>
        <v>0</v>
      </c>
      <c r="K11" s="23">
        <f>IF($I$4="Barat",IF($I$5="All",SUM(SUMIFS(Database!$AJ$4:$AJ$1048576,Database!$AC$4:$AC$1048576,$I$3,Database!$AE$4:$AE$1048576,{"JK2","MDN","TGR","PKB","PLB","BDL","PMS","PDG","BTM","BAC","JBI","PKP","BKL","LSE","PJT"},Database!$AJ$4:$AJ$1048576,"=4")),IF($I$5="Apotek",SUM(SUMIFS(Database!$AJ$4:$AJ$1048576,Database!$AC$4:$AC$1048576,$I$3,Database!$AE$4:$AE$1048576,{"JK2","MDN","TGR","PKB","PLB","BDL","PMS","PDG","BTM","BAC","JBI","PKP","BKL","LSE","PJT"},Database!$AJ$4:$AJ$1048576,"=4",Database!$AG$4:$AG$1048576,"Apotek")),IF($I$5="Rumah Sakit",SUM(SUMIFS(Database!$AJ$4:$AJ$1048576,Database!$AC$4:$AC$1048576,$I$3,Database!$AE$4:$AE$1048576,{"JK2","MDN","TGR","PKB","PLB","BDL","PMS","PDG","BTM","BAC","JBI","PKP","BKL","LSE","PJT"},Database!$AJ$4:$AJ$1048576,"=4",Database!$AG$4:$AG$1048576,"Rumah sakit")),IF($I$5="Subdis",SUM(SUMIFS(Database!$AJ$4:$AJ$1048576,Database!$AC$4:$AC$1048576,$I$3,Database!$AE$4:$AE$1048576,{"JK2","MDN","TGR","PKB","PLB","BDL","PMS","PDG","BTM","BAC","JBI","PKP","BKL","LSE","PJT"},Database!$AJ$4:$AJ$1048576,"=4",Database!$AG$4:$AG$1048576,"Subdis")),0)))),IF($I$4="Tengah",IF($I$5="All",SUM(SUMIFS(Database!$AJ$4:$AJ$1048576,Database!$AC$4:$AC$1048576,$I$3,Database!$AE$4:$AE$1048576,{"JK1","JK3","BDG","SMG","BGR","YOG","SLO","CRB","PWK","BKS","KDS","TGL","TSK","SKI","BD2"},Database!$AJ$4:$AJ$1048576,"=4")),IF($I$5="Apotek",SUM(SUMIFS(Database!$AJ$4:$AJ$1048576,Database!$AC$4:$AC$1048576,$I$3,Database!$AE$4:$AE$1048576,{"JK1","JK3","BDG","SMG","BGR","YOG","SLO","CRB","PWK","BKS","KDS","TGL","TSK","SKI","BD2"},Database!$AJ$4:$AJ$1048576,"=4",Database!$AG$4:$AG$1048576,"Apotek")),IF($I$5="Rumah Sakit",SUM(SUMIFS(Database!$AJ$4:$AJ$1048576,Database!$AC$4:$AC$1048576,$I$3,Database!$AE$4:$AE$1048576,{"JK1","JK3","BDG","SMG","BGR","YOG","SLO","CRB","PWK","BKS","KDS","TGL","TSK","SKI","BD2"},Database!$AJ$4:$AJ$1048576,"=4",Database!$AG$4:$AG$1048576,"Rumah sakit")),IF($I$5="Subdis",SUM(SUMIFS(Database!$AJ$4:$AJ$1048576,Database!$AC$4:$AC$1048576,$I$3,Database!$AE$4:$AE$1048576,{"JK1","JK3","BDG","SMG","BGR","YOG","SLO","CRB","PWK","BKS","KDS","TGL","TSK","SKI","BD2"},Database!$AJ$4:$AJ$1048576,"=4",Database!$AG$4:$AG$1048576,"Subdis")),0)))),IF($I$4="Timur",IF($I$5="All",SUM(SUMIFS(Database!$AJ$4:$AJ$1048576,Database!$AC$4:$AC$1048576,$I$3,Database!$AE$4:$AE$1048576,{"SB1","SB2","BMS","MKS","DPS","KDR","MLG","SMD","PTK","JBR","MNO","JPU","MTR","BPP","KPG","PLU"},Database!$AJ$4:$AJ$1048576,"=4")),IF($I$5="Apotek",SUM(SUMIFS(Database!$AJ$4:$AJ$1048576,Database!$AC$4:$AC$1048576,$I$3,Database!$AE$4:$AE$1048576,{"SB1","SB2","BMS","MKS","DPS","KDR","MLG","SMD","PTK","JBR","MNO","JPU","MTR","BPP","KPG","PLU"},Database!$AJ$4:$AJ$1048576,"=4",Database!$AG$4:$AG$1048576,"Apotek")),IF($I$5="Rumah Sakit",SUM(SUMIFS(Database!$AJ$4:$AJ$1048576,Database!$AC$4:$AC$1048576,$I$3,Database!$AE$4:$AE$1048576,{"SB1","SB2","BMS","MKS","DPS","KDR","MLG","SMD","PTK","JBR","MNO","JPU","MTR","BPP","KPG","PLU"},Database!$AJ$4:$AJ$1048576,"=4",Database!$AG$4:$AG$1048576,"Rumah sakit")),IF($I$5="Subdis",SUM(SUMIFS(Database!$AJ$4:$AJ$1048576,Database!$AC$4:$AC$1048576,$I$3,Database!$AE$4:$AE$1048576,{"SB1","SB2","BMS","MKS","DPS","KDR","MLG","SMD","PTK","JBR","MNO","JPU","MTR","BPP","KPG","PLU"},Database!$AJ$4:$AJ$1048576,"=4",Database!$AG$4:$AG$1048576,"Subdis")),0)))))))/$E$8</f>
        <v>0</v>
      </c>
      <c r="L11" s="9">
        <f t="shared" si="1"/>
        <v>0</v>
      </c>
      <c r="M11" s="10" t="e">
        <f t="shared" si="2"/>
        <v>#DIV/0!</v>
      </c>
      <c r="N11" s="10" t="e">
        <f t="shared" si="3"/>
        <v>#DIV/0!</v>
      </c>
      <c r="O11" s="32" t="e">
        <f t="shared" si="4"/>
        <v>#DIV/0!</v>
      </c>
      <c r="P11" s="11" t="s">
        <v>0</v>
      </c>
      <c r="Q11" s="32" t="e">
        <f t="shared" si="5"/>
        <v>#DIV/0!</v>
      </c>
      <c r="R11" s="81" t="e">
        <f t="shared" si="6"/>
        <v>#DIV/0!</v>
      </c>
      <c r="S11" s="81" t="e">
        <f t="shared" si="7"/>
        <v>#DIV/0!</v>
      </c>
      <c r="T11" s="81" t="e">
        <f t="shared" si="8"/>
        <v>#DIV/0!</v>
      </c>
      <c r="U11" s="81" t="e">
        <f t="shared" si="9"/>
        <v>#DIV/0!</v>
      </c>
      <c r="V11" s="257"/>
    </row>
    <row r="12" spans="1:22" ht="18" x14ac:dyDescent="0.35">
      <c r="A12" s="9" t="s">
        <v>17</v>
      </c>
      <c r="B12" s="23">
        <f>IF($I$4="Barat",IF($I$5="All",SUM(SUMIFS(Database!$J$4:$J$1048576,Database!$B$4:$B$1048576,$I$3,Database!$D$4:$D$1048576,{"JK2","MDN","TGR","PKB","PLB","BDL","PMS","PDG","BTM","BAC","JBI","PKP","BKL","LSE","PJT"},Database!$J$4:$J$1048576,"=1")),IF($I$5="Apotek",SUM(SUMIFS(Database!$J$4:$J$1048576,Database!$B$4:$B$1048576,$I$3,Database!$D$4:$D$1048576,{"JK2","MDN","TGR","PKB","PLB","BDL","PMS","PDG","BTM","BAC","JBI","PKP","BKL","LSE","PJT"},Database!$J$4:$J$1048576,"=1",Database!$F$4:$F$1048576,"Apotek")),IF($I$5="Rumah Sakit",SUM(SUMIFS(Database!$J$4:$J$1048576,Database!$B$4:$B$1048576,$I$3,Database!$D$4:$D$1048576,{"JK2","MDN","TGR","PKB","PLB","BDL","PMS","PDG","BTM","BAC","JBI","PKP","BKL","LSE","PJT"},Database!$J$4:$J$1048576,"=1",Database!$F$4:$F$1048576,"Rumah sakit")),IF($I$5="Subdis",SUM(SUMIFS(Database!$J$4:$J$1048576,Database!$B$4:$B$1048576,$I$3,Database!$D$4:$D$1048576,{"JK2","MDN","TGR","PKB","PLB","BDL","PMS","PDG","BTM","BAC","JBI","PKP","BKL","LSE","PJT"},Database!$J$4:$J$1048576,"=1",Database!$F$4:$F$1048576,"Subdis")),0)))),IF($I$4="Tengah",IF($I$5="All",SUM(SUMIFS(Database!$J$4:$J$1048576,Database!$B$4:$B$1048576,$I$3,Database!$D$4:$D$1048576,{"JK1","JK3","BDG","SMG","BGR","YOG","SLO","CRB","PWK","BKS","KDS","TGL","TSK","SKI","BD2"},Database!$J$4:$J$1048576,"=1")),IF($I$5="Apotek",SUM(SUMIFS(Database!$J$4:$J$1048576,Database!$B$4:$B$1048576,$I$3,Database!$D$4:$D$1048576,{"JK1","JK3","BDG","SMG","BGR","YOG","SLO","CRB","PWK","BKS","KDS","TGL","TSK","SKI","BD2"},Database!$J$4:$J$1048576,"=1",Database!$F$4:$F$1048576,"Apotek")),IF($I$5="Rumah Sakit",SUM(SUMIFS(Database!$J$4:$J$1048576,Database!$B$4:$B$1048576,$I$3,Database!$D$4:$D$1048576,{"JK1","JK3","BDG","SMG","BGR","YOG","SLO","CRB","PWK","BKS","KDS","TGL","TSK","SKI","BD2"},Database!$J$4:$J$1048576,"=1",Database!$F$4:$F$1048576,"Rumah sakit")),IF($I$5="Subdis",SUM(SUMIFS(Database!$J$4:$J$1048576,Database!$B$4:$B$1048576,$I$3,Database!$D$4:$D$1048576,{"JK1","JK3","BDG","SMG","BGR","YOG","SLO","CRB","PWK","BKS","KDS","TGL","TSK","SKI","BD2"},Database!$J$4:$J$1048576,"=1",Database!$F$4:$F$1048576,"Subdis")),0)))),IF($I$4="Timur",IF($I$5="All",SUM(SUMIFS(Database!$J$4:$J$1048576,Database!$B$4:$B$1048576,$I$3,Database!$D$4:$D$1048576,{"SB1","SB2","BMS","MKS","DPS","KDR","MLG","SMD","PTK","JBR","MNO","JPU","MTR","BPP","KPG","PLU"},Database!$J$4:$J$1048576,"=1")),IF($I$5="Apotek",SUM(SUMIFS(Database!$J$4:$J$1048576,Database!$B$4:$B$1048576,$I$3,Database!$D$4:$D$1048576,{"SB1","SB2","BMS","MKS","DPS","KDR","MLG","SMD","PTK","JBR","MNO","JPU","MTR","BPP","KPG","PLU"},Database!$J$4:$J$1048576,"=1",Database!$F$4:$F$1048576,"Apotek")),IF($I$5="Rumah Sakit",SUM(SUMIFS(Database!$J$4:$J$1048576,Database!$B$4:$B$1048576,$I$3,Database!$D$4:$D$1048576,{"SB1","SB2","BMS","MKS","DPS","KDR","MLG","SMD","PTK","JBR","MNO","JPU","MTR","BPP","KPG","PLU"},Database!$J$4:$J$1048576,"=1",Database!$F$4:$F$1048576,"Rumah sakit")),IF($I$5="Subdis",SUM(SUMIFS(Database!$J$4:$J$1048576,Database!$B$4:$B$1048576,$I$3,Database!$D$4:$D$1048576,{"SB1","SB2","BMS","MKS","DPS","KDR","MLG","SMD","PTK","JBR","MNO","JPU","MTR","BPP","KPG","PLU"},Database!$J$4:$J$1048576,"=1",Database!$F$4:$F$1048576,"Subdis")),0)))))))/$B$8</f>
        <v>0</v>
      </c>
      <c r="C12" s="23">
        <f>IF($I$4="Barat",IF($I$5="All",SUM(SUMIFS(Database!$J$4:$J$1048576,Database!$B$4:$B$1048576,$I$3,Database!$D$4:$D$1048576,{"JK2","MDN","TGR","PKB","PLB","BDL","PMS","PDG","BTM","BAC","JBI","PKP","BKL","LSE","PJT"},Database!$J$4:$J$1048576,"=2")),IF($I$5="Apotek",SUM(SUMIFS(Database!$J$4:$J$1048576,Database!$B$4:$B$1048576,$I$3,Database!$D$4:$D$1048576,{"JK2","MDN","TGR","PKB","PLB","BDL","PMS","PDG","BTM","BAC","JBI","PKP","BKL","LSE","PJT"},Database!$J$4:$J$1048576,"=2",Database!$F$4:$F$1048576,"Apotek")),IF($I$5="Rumah Sakit",SUM(SUMIFS(Database!$J$4:$J$1048576,Database!$B$4:$B$1048576,$I$3,Database!$D$4:$D$1048576,{"JK2","MDN","TGR","PKB","PLB","BDL","PMS","PDG","BTM","BAC","JBI","PKP","BKL","LSE","PJT"},Database!$J$4:$J$1048576,"=2",Database!$F$4:$F$1048576,"Rumah sakit")),IF($I$5="Subdis",SUM(SUMIFS(Database!$J$4:$J$1048576,Database!$B$4:$B$1048576,$I$3,Database!$D$4:$D$1048576,{"JK2","MDN","TGR","PKB","PLB","BDL","PMS","PDG","BTM","BAC","JBI","PKP","BKL","LSE","PJT"},Database!$J$4:$J$1048576,"=2",Database!$F$4:$F$1048576,"Subdis")),0)))),IF($I$4="Tengah",IF($I$5="All",SUM(SUMIFS(Database!$J$4:$J$1048576,Database!$B$4:$B$1048576,$I$3,Database!$D$4:$D$1048576,{"JK1","JK3","BDG","SMG","BGR","YOG","SLO","CRB","PWK","BKS","KDS","TGL","TSK","SKI","BD2"},Database!$J$4:$J$1048576,"=2")),IF($I$5="Apotek",SUM(SUMIFS(Database!$J$4:$J$1048576,Database!$B$4:$B$1048576,$I$3,Database!$D$4:$D$1048576,{"JK1","JK3","BDG","SMG","BGR","YOG","SLO","CRB","PWK","BKS","KDS","TGL","TSK","SKI","BD2"},Database!$J$4:$J$1048576,"=2",Database!$F$4:$F$1048576,"Apotek")),IF($I$5="Rumah Sakit",SUM(SUMIFS(Database!$J$4:$J$1048576,Database!$B$4:$B$1048576,$I$3,Database!$D$4:$D$1048576,{"JK1","JK3","BDG","SMG","BGR","YOG","SLO","CRB","PWK","BKS","KDS","TGL","TSK","SKI","BD2"},Database!$J$4:$J$1048576,"=2",Database!$F$4:$F$1048576,"Rumah sakit")),IF($I$5="Subdis",SUM(SUMIFS(Database!$J$4:$J$1048576,Database!$B$4:$B$1048576,$I$3,Database!$D$4:$D$1048576,{"JK1","JK3","BDG","SMG","BGR","YOG","SLO","CRB","PWK","BKS","KDS","TGL","TSK","SKI","BD2"},Database!$J$4:$J$1048576,"=2",Database!$F$4:$F$1048576,"Subdis")),0)))),IF($I$4="Timur",IF($I$5="All",SUM(SUMIFS(Database!$J$4:$J$1048576,Database!$B$4:$B$1048576,$I$3,Database!$D$4:$D$1048576,{"SB1","SB2","BMS","MKS","DPS","KDR","MLG","SMD","PTK","JBR","MNO","JPU","MTR","BPP","KPG","PLU"},Database!$J$4:$J$1048576,"=2")),IF($I$5="Apotek",SUM(SUMIFS(Database!$J$4:$J$1048576,Database!$B$4:$B$1048576,$I$3,Database!$D$4:$D$1048576,{"SB1","SB2","BMS","MKS","DPS","KDR","MLG","SMD","PTK","JBR","MNO","JPU","MTR","BPP","KPG","PLU"},Database!$J$4:$J$1048576,"=2",Database!$F$4:$F$1048576,"Apotek")),IF($I$5="Rumah Sakit",SUM(SUMIFS(Database!$J$4:$J$1048576,Database!$B$4:$B$1048576,$I$3,Database!$D$4:$D$1048576,{"SB1","SB2","BMS","MKS","DPS","KDR","MLG","SMD","PTK","JBR","MNO","JPU","MTR","BPP","KPG","PLU"},Database!$J$4:$J$1048576,"=2",Database!$F$4:$F$1048576,"Rumah sakit")),IF($I$5="Subdis",SUM(SUMIFS(Database!$J$4:$J$1048576,Database!$B$4:$B$1048576,$I$3,Database!$D$4:$D$1048576,{"SB1","SB2","BMS","MKS","DPS","KDR","MLG","SMD","PTK","JBR","MNO","JPU","MTR","BPP","KPG","PLU"},Database!$J$4:$J$1048576,"=2",Database!$F$4:$F$1048576,"Subdis")),0)))))))/$C$8</f>
        <v>0</v>
      </c>
      <c r="D12" s="23">
        <f>IF($I$4="Barat",IF($I$5="All",SUM(SUMIFS(Database!$J$4:$J$1048576,Database!$B$4:$B$1048576,$I$3,Database!$D$4:$D$1048576,{"JK2","MDN","TGR","PKB","PLB","BDL","PMS","PDG","BTM","BAC","JBI","PKP","BKL","LSE","PJT"},Database!$J$4:$J$1048576,"=3")),IF($I$5="Apotek",SUM(SUMIFS(Database!$J$4:$J$1048576,Database!$B$4:$B$1048576,$I$3,Database!$D$4:$D$1048576,{"JK2","MDN","TGR","PKB","PLB","BDL","PMS","PDG","BTM","BAC","JBI","PKP","BKL","LSE","PJT"},Database!$J$4:$J$1048576,"=3",Database!$F$4:$F$1048576,"Apotek")),IF($I$5="Rumah Sakit",SUM(SUMIFS(Database!$J$4:$J$1048576,Database!$B$4:$B$1048576,$I$3,Database!$D$4:$D$1048576,{"JK2","MDN","TGR","PKB","PLB","BDL","PMS","PDG","BTM","BAC","JBI","PKP","BKL","LSE","PJT"},Database!$J$4:$J$1048576,"=3",Database!$F$4:$F$1048576,"Rumah sakit")),IF($I$5="Subdis",SUM(SUMIFS(Database!$J$4:$J$1048576,Database!$B$4:$B$1048576,$I$3,Database!$D$4:$D$1048576,{"JK2","MDN","TGR","PKB","PLB","BDL","PMS","PDG","BTM","BAC","JBI","PKP","BKL","LSE","PJT"},Database!$J$4:$J$1048576,"=3",Database!$F$4:$F$1048576,"Subdis")),0)))),IF($I$4="Tengah",IF($I$5="All",SUM(SUMIFS(Database!$J$4:$J$1048576,Database!$B$4:$B$1048576,$I$3,Database!$D$4:$D$1048576,{"JK1","JK3","BDG","SMG","BGR","YOG","SLO","CRB","PWK","BKS","KDS","TGL","TSK","SKI","BD2"},Database!$J$4:$J$1048576,"=3")),IF($I$5="Apotek",SUM(SUMIFS(Database!$J$4:$J$1048576,Database!$B$4:$B$1048576,$I$3,Database!$D$4:$D$1048576,{"JK1","JK3","BDG","SMG","BGR","YOG","SLO","CRB","PWK","BKS","KDS","TGL","TSK","SKI","BD2"},Database!$J$4:$J$1048576,"=3",Database!$F$4:$F$1048576,"Apotek")),IF($I$5="Rumah Sakit",SUM(SUMIFS(Database!$J$4:$J$1048576,Database!$B$4:$B$1048576,$I$3,Database!$D$4:$D$1048576,{"JK1","JK3","BDG","SMG","BGR","YOG","SLO","CRB","PWK","BKS","KDS","TGL","TSK","SKI","BD2"},Database!$J$4:$J$1048576,"=3",Database!$F$4:$F$1048576,"Rumah sakit")),IF($I$5="Subdis",SUM(SUMIFS(Database!$J$4:$J$1048576,Database!$B$4:$B$1048576,$I$3,Database!$D$4:$D$1048576,{"JK1","JK3","BDG","SMG","BGR","YOG","SLO","CRB","PWK","BKS","KDS","TGL","TSK","SKI","BD2"},Database!$J$4:$J$1048576,"=3",Database!$F$4:$F$1048576,"Subdis")),0)))),IF($I$4="Timur",IF($I$5="All",SUM(SUMIFS(Database!$J$4:$J$1048576,Database!$B$4:$B$1048576,$I$3,Database!$D$4:$D$1048576,{"SB1","SB2","BMS","MKS","DPS","KDR","MLG","SMD","PTK","JBR","MNO","JPU","MTR","BPP","KPG","PLU"},Database!$J$4:$J$1048576,"=3")),IF($I$5="Apotek",SUM(SUMIFS(Database!$J$4:$J$1048576,Database!$B$4:$B$1048576,$I$3,Database!$D$4:$D$1048576,{"SB1","SB2","BMS","MKS","DPS","KDR","MLG","SMD","PTK","JBR","MNO","JPU","MTR","BPP","KPG","PLU"},Database!$J$4:$J$1048576,"=3",Database!$F$4:$F$1048576,"Apotek")),IF($I$5="Rumah Sakit",SUM(SUMIFS(Database!$J$4:$J$1048576,Database!$B$4:$B$1048576,$I$3,Database!$D$4:$D$1048576,{"SB1","SB2","BMS","MKS","DPS","KDR","MLG","SMD","PTK","JBR","MNO","JPU","MTR","BPP","KPG","PLU"},Database!$J$4:$J$1048576,"=3",Database!$F$4:$F$1048576,"Rumah sakit")),IF($I$5="Subdis",SUM(SUMIFS(Database!$J$4:$J$1048576,Database!$B$4:$B$1048576,$I$3,Database!$D$4:$D$1048576,{"SB1","SB2","BMS","MKS","DPS","KDR","MLG","SMD","PTK","JBR","MNO","JPU","MTR","BPP","KPG","PLU"},Database!$J$4:$J$1048576,"=3",Database!$F$4:$F$1048576,"Subdis")),0)))))))/$D$8</f>
        <v>0</v>
      </c>
      <c r="E12" s="23">
        <f>IF($I$4="Barat",IF($I$5="All",SUM(SUMIFS(Database!$J$4:$J$1048576,Database!$B$4:$B$1048576,$I$3,Database!$D$4:$D$1048576,{"JK2","MDN","TGR","PKB","PLB","BDL","PMS","PDG","BTM","BAC","JBI","PKP","BKL","LSE","PJT"},Database!$J$4:$J$1048576,"=4")),IF($I$5="Apotek",SUM(SUMIFS(Database!$J$4:$J$1048576,Database!$B$4:$B$1048576,$I$3,Database!$D$4:$D$1048576,{"JK2","MDN","TGR","PKB","PLB","BDL","PMS","PDG","BTM","BAC","JBI","PKP","BKL","LSE","PJT"},Database!$J$4:$J$1048576,"=4",Database!$F$4:$F$1048576,"Apotek")),IF($I$5="Rumah Sakit",SUM(SUMIFS(Database!$J$4:$J$1048576,Database!$B$4:$B$1048576,$I$3,Database!$D$4:$D$1048576,{"JK2","MDN","TGR","PKB","PLB","BDL","PMS","PDG","BTM","BAC","JBI","PKP","BKL","LSE","PJT"},Database!$J$4:$J$1048576,"=4",Database!$F$4:$F$1048576,"Rumah sakit")),IF($I$5="Subdis",SUM(SUMIFS(Database!$J$4:$J$1048576,Database!$B$4:$B$1048576,$I$3,Database!$D$4:$D$1048576,{"JK2","MDN","TGR","PKB","PLB","BDL","PMS","PDG","BTM","BAC","JBI","PKP","BKL","LSE","PJT"},Database!$J$4:$J$1048576,"=4",Database!$F$4:$F$1048576,"Subdis")),0)))),IF($I$4="Tengah",IF($I$5="All",SUM(SUMIFS(Database!$J$4:$J$1048576,Database!$B$4:$B$1048576,$I$3,Database!$D$4:$D$1048576,{"JK1","JK3","BDG","SMG","BGR","YOG","SLO","CRB","PWK","BKS","KDS","TGL","TSK","SKI","BD2"},Database!$J$4:$J$1048576,"=4")),IF($I$5="Apotek",SUM(SUMIFS(Database!$J$4:$J$1048576,Database!$B$4:$B$1048576,$I$3,Database!$D$4:$D$1048576,{"JK1","JK3","BDG","SMG","BGR","YOG","SLO","CRB","PWK","BKS","KDS","TGL","TSK","SKI","BD2"},Database!$J$4:$J$1048576,"=4",Database!$F$4:$F$1048576,"Apotek")),IF($I$5="Rumah Sakit",SUM(SUMIFS(Database!$J$4:$J$1048576,Database!$B$4:$B$1048576,$I$3,Database!$D$4:$D$1048576,{"JK1","JK3","BDG","SMG","BGR","YOG","SLO","CRB","PWK","BKS","KDS","TGL","TSK","SKI","BD2"},Database!$J$4:$J$1048576,"=4",Database!$F$4:$F$1048576,"Rumah sakit")),IF($I$5="Subdis",SUM(SUMIFS(Database!$J$4:$J$1048576,Database!$B$4:$B$1048576,$I$3,Database!$D$4:$D$1048576,{"JK1","JK3","BDG","SMG","BGR","YOG","SLO","CRB","PWK","BKS","KDS","TGL","TSK","SKI","BD2"},Database!$J$4:$J$1048576,"=4",Database!$F$4:$F$1048576,"Subdis")),0)))),IF($I$4="Timur",IF($I$5="All",SUM(SUMIFS(Database!$J$4:$J$1048576,Database!$B$4:$B$1048576,$I$3,Database!$D$4:$D$1048576,{"SB1","SB2","BMS","MKS","DPS","KDR","MLG","SMD","PTK","JBR","MNO","JPU","MTR","BPP","KPG","PLU"},Database!$J$4:$J$1048576,"=4")),IF($I$5="Apotek",SUM(SUMIFS(Database!$J$4:$J$1048576,Database!$B$4:$B$1048576,$I$3,Database!$D$4:$D$1048576,{"SB1","SB2","BMS","MKS","DPS","KDR","MLG","SMD","PTK","JBR","MNO","JPU","MTR","BPP","KPG","PLU"},Database!$J$4:$J$1048576,"=4",Database!$F$4:$F$1048576,"Apotek")),IF($I$5="Rumah Sakit",SUM(SUMIFS(Database!$J$4:$J$1048576,Database!$B$4:$B$1048576,$I$3,Database!$D$4:$D$1048576,{"SB1","SB2","BMS","MKS","DPS","KDR","MLG","SMD","PTK","JBR","MNO","JPU","MTR","BPP","KPG","PLU"},Database!$J$4:$J$1048576,"=4",Database!$F$4:$F$1048576,"Rumah sakit")),IF($I$5="Subdis",SUM(SUMIFS(Database!$J$4:$J$1048576,Database!$B$4:$B$1048576,$I$3,Database!$D$4:$D$1048576,{"SB1","SB2","BMS","MKS","DPS","KDR","MLG","SMD","PTK","JBR","MNO","JPU","MTR","BPP","KPG","PLU"},Database!$J$4:$J$1048576,"=4",Database!$F$4:$F$1048576,"Subdis")),0)))))))/$E$8</f>
        <v>0</v>
      </c>
      <c r="F12" s="9">
        <f t="shared" si="0"/>
        <v>0</v>
      </c>
      <c r="G12" s="10" t="e">
        <f t="shared" si="10"/>
        <v>#DIV/0!</v>
      </c>
      <c r="H12" s="23">
        <f>IF($I$4="Barat",IF($I$5="All",SUM(SUMIFS(Database!$AK$4:$AK$1048576,Database!$AC$4:$AC$1048576,$I$3,Database!$AE$4:$AE$1048576,{"JK2","MDN","TGR","PKB","PLB","BDL","PMS","PDG","BTM","BAC","JBI","PKP","BKL","LSE","PJT"},Database!$AK$4:$AK$1048576,"=1")),IF($I$5="Apotek",SUM(SUMIFS(Database!$AK$4:$AK$1048576,Database!$AC$4:$AC$1048576,$I$3,Database!$AE$4:$AE$1048576,{"JK2","MDN","TGR","PKB","PLB","BDL","PMS","PDG","BTM","BAC","JBI","PKP","BKL","LSE","PJT"},Database!$AK$4:$AK$1048576,"=1",Database!$AG$4:$AG$1048576,"Apotek")),IF($I$5="Rumah Sakit",SUM(SUMIFS(Database!$AK$4:$AK$1048576,Database!$AC$4:$AC$1048576,$I$3,Database!$AE$4:$AE$1048576,{"JK2","MDN","TGR","PKB","PLB","BDL","PMS","PDG","BTM","BAC","JBI","PKP","BKL","LSE","PJT"},Database!$AK$4:$AK$1048576,"=1",Database!$AG$4:$AG$1048576,"Rumah sakit")),IF($I$5="Subdis",SUM(SUMIFS(Database!$AK$4:$AK$1048576,Database!$AC$4:$AC$1048576,$I$3,Database!$AE$4:$AE$1048576,{"JK2","MDN","TGR","PKB","PLB","BDL","PMS","PDG","BTM","BAC","JBI","PKP","BKL","LSE","PJT"},Database!$AK$4:$AK$1048576,"=1",Database!$AG$4:$AG$1048576,"Subdis")),0)))),IF($I$4="Tengah",IF($I$5="All",SUM(SUMIFS(Database!$AK$4:$AK$1048576,Database!$AC$4:$AC$1048576,$I$3,Database!$AE$4:$AE$1048576,{"JK1","JK3","BDG","SMG","BGR","YOG","SLO","CRB","PWK","BKS","KDS","TGL","TSK","SKI","BD2"},Database!$AK$4:$AK$1048576,"=1")),IF($I$5="Apotek",SUM(SUMIFS(Database!$AK$4:$AK$1048576,Database!$AC$4:$AC$1048576,$I$3,Database!$AE$4:$AE$1048576,{"JK1","JK3","BDG","SMG","BGR","YOG","SLO","CRB","PWK","BKS","KDS","TGL","TSK","SKI","BD2"},Database!$AK$4:$AK$1048576,"=1",Database!$AG$4:$AG$1048576,"Apotek")),IF($I$5="Rumah Sakit",SUM(SUMIFS(Database!$AK$4:$AK$1048576,Database!$AC$4:$AC$1048576,$I$3,Database!$AE$4:$AE$1048576,{"JK1","JK3","BDG","SMG","BGR","YOG","SLO","CRB","PWK","BKS","KDS","TGL","TSK","SKI","BD2"},Database!$AK$4:$AK$1048576,"=1",Database!$AG$4:$AG$1048576,"Rumah sakit")),IF($I$5="Subdis",SUM(SUMIFS(Database!$AK$4:$AK$1048576,Database!$AC$4:$AC$1048576,$I$3,Database!$AE$4:$AE$1048576,{"JK1","JK3","BDG","SMG","BGR","YOG","SLO","CRB","PWK","BKS","KDS","TGL","TSK","SKI","BD2"},Database!$AK$4:$AK$1048576,"=1",Database!$AG$4:$AG$1048576,"Subdis")),0)))),IF($I$4="Timur",IF($I$5="All",SUM(SUMIFS(Database!$AK$4:$AK$1048576,Database!$AC$4:$AC$1048576,$I$3,Database!$AE$4:$AE$1048576,{"SB1","SB2","BMS","MKS","DPS","KDR","MLG","SMD","PTK","JBR","MNO","JPU","MTR","BPP","KPG","PLU"},Database!$AK$4:$AK$1048576,"=1")),IF($I$5="Apotek",SUM(SUMIFS(Database!$AK$4:$AK$1048576,Database!$AC$4:$AC$1048576,$I$3,Database!$AE$4:$AE$1048576,{"SB1","SB2","BMS","MKS","DPS","KDR","MLG","SMD","PTK","JBR","MNO","JPU","MTR","BPP","KPG","PLU"},Database!$AK$4:$AK$1048576,"=1",Database!$AG$4:$AG$1048576,"Apotek")),IF($I$5="Rumah Sakit",SUM(SUMIFS(Database!$AK$4:$AK$1048576,Database!$AC$4:$AC$1048576,$I$3,Database!$AE$4:$AE$1048576,{"SB1","SB2","BMS","MKS","DPS","KDR","MLG","SMD","PTK","JBR","MNO","JPU","MTR","BPP","KPG","PLU"},Database!$AK$4:$AK$1048576,"=1",Database!$AG$4:$AG$1048576,"Rumah sakit")),IF($I$5="Subdis",SUM(SUMIFS(Database!$AK$4:$AK$1048576,Database!$AC$4:$AC$1048576,$I$3,Database!$AE$4:$AE$1048576,{"SB1","SB2","BMS","MKS","DPS","KDR","MLG","SMD","PTK","JBR","MNO","JPU","MTR","BPP","KPG","PLU"},Database!$AK$4:$AK$1048576,"=1",Database!$AG$4:$AG$1048576,"Subdis")),0)))))))/$B$8</f>
        <v>0</v>
      </c>
      <c r="I12" s="23">
        <f>IF($I$4="Barat",IF($I$5="All",SUM(SUMIFS(Database!$AK$4:$AK$1048576,Database!$AC$4:$AC$1048576,$I$3,Database!$AE$4:$AE$1048576,{"JK2","MDN","TGR","PKB","PLB","BDL","PMS","PDG","BTM","BAC","JBI","PKP","BKL","LSE","PJT"},Database!$AK$4:$AK$1048576,"=2")),IF($I$5="Apotek",SUM(SUMIFS(Database!$AK$4:$AK$1048576,Database!$AC$4:$AC$1048576,$I$3,Database!$AE$4:$AE$1048576,{"JK2","MDN","TGR","PKB","PLB","BDL","PMS","PDG","BTM","BAC","JBI","PKP","BKL","LSE","PJT"},Database!$AK$4:$AK$1048576,"=2",Database!$AG$4:$AG$1048576,"Apotek")),IF($I$5="Rumah Sakit",SUM(SUMIFS(Database!$AK$4:$AK$1048576,Database!$AC$4:$AC$1048576,$I$3,Database!$AE$4:$AE$1048576,{"JK2","MDN","TGR","PKB","PLB","BDL","PMS","PDG","BTM","BAC","JBI","PKP","BKL","LSE","PJT"},Database!$AK$4:$AK$1048576,"=2",Database!$AG$4:$AG$1048576,"Rumah sakit")),IF($I$5="Subdis",SUM(SUMIFS(Database!$AK$4:$AK$1048576,Database!$AC$4:$AC$1048576,$I$3,Database!$AE$4:$AE$1048576,{"JK2","MDN","TGR","PKB","PLB","BDL","PMS","PDG","BTM","BAC","JBI","PKP","BKL","LSE","PJT"},Database!$AK$4:$AK$1048576,"=2",Database!$AG$4:$AG$1048576,"Subdis")),0)))),IF($I$4="Tengah",IF($I$5="All",SUM(SUMIFS(Database!$AK$4:$AK$1048576,Database!$AC$4:$AC$1048576,$I$3,Database!$AE$4:$AE$1048576,{"JK1","JK3","BDG","SMG","BGR","YOG","SLO","CRB","PWK","BKS","KDS","TGL","TSK","SKI","BD2"},Database!$AK$4:$AK$1048576,"=2")),IF($I$5="Apotek",SUM(SUMIFS(Database!$AK$4:$AK$1048576,Database!$AC$4:$AC$1048576,$I$3,Database!$AE$4:$AE$1048576,{"JK1","JK3","BDG","SMG","BGR","YOG","SLO","CRB","PWK","BKS","KDS","TGL","TSK","SKI","BD2"},Database!$AK$4:$AK$1048576,"=2",Database!$AG$4:$AG$1048576,"Apotek")),IF($I$5="Rumah Sakit",SUM(SUMIFS(Database!$AK$4:$AK$1048576,Database!$AC$4:$AC$1048576,$I$3,Database!$AE$4:$AE$1048576,{"JK1","JK3","BDG","SMG","BGR","YOG","SLO","CRB","PWK","BKS","KDS","TGL","TSK","SKI","BD2"},Database!$AK$4:$AK$1048576,"=2",Database!$AG$4:$AG$1048576,"Rumah sakit")),IF($I$5="Subdis",SUM(SUMIFS(Database!$AK$4:$AK$1048576,Database!$AC$4:$AC$1048576,$I$3,Database!$AE$4:$AE$1048576,{"JK1","JK3","BDG","SMG","BGR","YOG","SLO","CRB","PWK","BKS","KDS","TGL","TSK","SKI","BD2"},Database!$AK$4:$AK$1048576,"=2",Database!$AG$4:$AG$1048576,"Subdis")),0)))),IF($I$4="Timur",IF($I$5="All",SUM(SUMIFS(Database!$AK$4:$AK$1048576,Database!$AC$4:$AC$1048576,$I$3,Database!$AE$4:$AE$1048576,{"SB1","SB2","BMS","MKS","DPS","KDR","MLG","SMD","PTK","JBR","MNO","JPU","MTR","BPP","KPG","PLU"},Database!$AK$4:$AK$1048576,"=2")),IF($I$5="Apotek",SUM(SUMIFS(Database!$AK$4:$AK$1048576,Database!$AC$4:$AC$1048576,$I$3,Database!$AE$4:$AE$1048576,{"SB1","SB2","BMS","MKS","DPS","KDR","MLG","SMD","PTK","JBR","MNO","JPU","MTR","BPP","KPG","PLU"},Database!$AK$4:$AK$1048576,"=2",Database!$AG$4:$AG$1048576,"Apotek")),IF($I$5="Rumah Sakit",SUM(SUMIFS(Database!$AK$4:$AK$1048576,Database!$AC$4:$AC$1048576,$I$3,Database!$AE$4:$AE$1048576,{"SB1","SB2","BMS","MKS","DPS","KDR","MLG","SMD","PTK","JBR","MNO","JPU","MTR","BPP","KPG","PLU"},Database!$AK$4:$AK$1048576,"=2",Database!$AG$4:$AG$1048576,"Rumah sakit")),IF($I$5="Subdis",SUM(SUMIFS(Database!$AK$4:$AK$1048576,Database!$AC$4:$AC$1048576,$I$3,Database!$AE$4:$AE$1048576,{"SB1","SB2","BMS","MKS","DPS","KDR","MLG","SMD","PTK","JBR","MNO","JPU","MTR","BPP","KPG","PLU"},Database!$AK$4:$AK$1048576,"=2",Database!$AG$4:$AG$1048576,"Subdis")),0)))))))/$C$8</f>
        <v>0</v>
      </c>
      <c r="J12" s="23">
        <f>IF($I$4="Barat",IF($I$5="All",SUM(SUMIFS(Database!$AK$4:$AK$1048576,Database!$AC$4:$AC$1048576,$I$3,Database!$AE$4:$AE$1048576,{"JK2","MDN","TGR","PKB","PLB","BDL","PMS","PDG","BTM","BAC","JBI","PKP","BKL","LSE","PJT"},Database!$AK$4:$AK$1048576,"=3")),IF($I$5="Apotek",SUM(SUMIFS(Database!$AK$4:$AK$1048576,Database!$AC$4:$AC$1048576,$I$3,Database!$AE$4:$AE$1048576,{"JK2","MDN","TGR","PKB","PLB","BDL","PMS","PDG","BTM","BAC","JBI","PKP","BKL","LSE","PJT"},Database!$AK$4:$AK$1048576,"=3",Database!$AG$4:$AG$1048576,"Apotek")),IF($I$5="Rumah Sakit",SUM(SUMIFS(Database!$AK$4:$AK$1048576,Database!$AC$4:$AC$1048576,$I$3,Database!$AE$4:$AE$1048576,{"JK2","MDN","TGR","PKB","PLB","BDL","PMS","PDG","BTM","BAC","JBI","PKP","BKL","LSE","PJT"},Database!$AK$4:$AK$1048576,"=3",Database!$AG$4:$AG$1048576,"Rumah sakit")),IF($I$5="Subdis",SUM(SUMIFS(Database!$AK$4:$AK$1048576,Database!$AC$4:$AC$1048576,$I$3,Database!$AE$4:$AE$1048576,{"JK2","MDN","TGR","PKB","PLB","BDL","PMS","PDG","BTM","BAC","JBI","PKP","BKL","LSE","PJT"},Database!$AK$4:$AK$1048576,"=3",Database!$AG$4:$AG$1048576,"Subdis")),0)))),IF($I$4="Tengah",IF($I$5="All",SUM(SUMIFS(Database!$AK$4:$AK$1048576,Database!$AC$4:$AC$1048576,$I$3,Database!$AE$4:$AE$1048576,{"JK1","JK3","BDG","SMG","BGR","YOG","SLO","CRB","PWK","BKS","KDS","TGL","TSK","SKI","BD2"},Database!$AK$4:$AK$1048576,"=3")),IF($I$5="Apotek",SUM(SUMIFS(Database!$AK$4:$AK$1048576,Database!$AC$4:$AC$1048576,$I$3,Database!$AE$4:$AE$1048576,{"JK1","JK3","BDG","SMG","BGR","YOG","SLO","CRB","PWK","BKS","KDS","TGL","TSK","SKI","BD2"},Database!$AK$4:$AK$1048576,"=3",Database!$AG$4:$AG$1048576,"Apotek")),IF($I$5="Rumah Sakit",SUM(SUMIFS(Database!$AK$4:$AK$1048576,Database!$AC$4:$AC$1048576,$I$3,Database!$AE$4:$AE$1048576,{"JK1","JK3","BDG","SMG","BGR","YOG","SLO","CRB","PWK","BKS","KDS","TGL","TSK","SKI","BD2"},Database!$AK$4:$AK$1048576,"=3",Database!$AG$4:$AG$1048576,"Rumah sakit")),IF($I$5="Subdis",SUM(SUMIFS(Database!$AK$4:$AK$1048576,Database!$AC$4:$AC$1048576,$I$3,Database!$AE$4:$AE$1048576,{"JK1","JK3","BDG","SMG","BGR","YOG","SLO","CRB","PWK","BKS","KDS","TGL","TSK","SKI","BD2"},Database!$AK$4:$AK$1048576,"=3",Database!$AG$4:$AG$1048576,"Subdis")),0)))),IF($I$4="Timur",IF($I$5="All",SUM(SUMIFS(Database!$AK$4:$AK$1048576,Database!$AC$4:$AC$1048576,$I$3,Database!$AE$4:$AE$1048576,{"SB1","SB2","BMS","MKS","DPS","KDR","MLG","SMD","PTK","JBR","MNO","JPU","MTR","BPP","KPG","PLU"},Database!$AK$4:$AK$1048576,"=3")),IF($I$5="Apotek",SUM(SUMIFS(Database!$AK$4:$AK$1048576,Database!$AC$4:$AC$1048576,$I$3,Database!$AE$4:$AE$1048576,{"SB1","SB2","BMS","MKS","DPS","KDR","MLG","SMD","PTK","JBR","MNO","JPU","MTR","BPP","KPG","PLU"},Database!$AK$4:$AK$1048576,"=3",Database!$AG$4:$AG$1048576,"Apotek")),IF($I$5="Rumah Sakit",SUM(SUMIFS(Database!$AK$4:$AK$1048576,Database!$AC$4:$AC$1048576,$I$3,Database!$AE$4:$AE$1048576,{"SB1","SB2","BMS","MKS","DPS","KDR","MLG","SMD","PTK","JBR","MNO","JPU","MTR","BPP","KPG","PLU"},Database!$AK$4:$AK$1048576,"=3",Database!$AG$4:$AG$1048576,"Rumah sakit")),IF($I$5="Subdis",SUM(SUMIFS(Database!$AK$4:$AK$1048576,Database!$AC$4:$AC$1048576,$I$3,Database!$AE$4:$AE$1048576,{"SB1","SB2","BMS","MKS","DPS","KDR","MLG","SMD","PTK","JBR","MNO","JPU","MTR","BPP","KPG","PLU"},Database!$AK$4:$AK$1048576,"=3",Database!$AG$4:$AG$1048576,"Subdis")),0)))))))/$D$8</f>
        <v>0</v>
      </c>
      <c r="K12" s="23">
        <f>IF($I$4="Barat",IF($I$5="All",SUM(SUMIFS(Database!$AK$4:$AK$1048576,Database!$AC$4:$AC$1048576,$I$3,Database!$AE$4:$AE$1048576,{"JK2","MDN","TGR","PKB","PLB","BDL","PMS","PDG","BTM","BAC","JBI","PKP","BKL","LSE","PJT"},Database!$AK$4:$AK$1048576,"=4")),IF($I$5="Apotek",SUM(SUMIFS(Database!$AK$4:$AK$1048576,Database!$AC$4:$AC$1048576,$I$3,Database!$AE$4:$AE$1048576,{"JK2","MDN","TGR","PKB","PLB","BDL","PMS","PDG","BTM","BAC","JBI","PKP","BKL","LSE","PJT"},Database!$AK$4:$AK$1048576,"=4",Database!$AG$4:$AG$1048576,"Apotek")),IF($I$5="Rumah Sakit",SUM(SUMIFS(Database!$AK$4:$AK$1048576,Database!$AC$4:$AC$1048576,$I$3,Database!$AE$4:$AE$1048576,{"JK2","MDN","TGR","PKB","PLB","BDL","PMS","PDG","BTM","BAC","JBI","PKP","BKL","LSE","PJT"},Database!$AK$4:$AK$1048576,"=4",Database!$AG$4:$AG$1048576,"Rumah sakit")),IF($I$5="Subdis",SUM(SUMIFS(Database!$AK$4:$AK$1048576,Database!$AC$4:$AC$1048576,$I$3,Database!$AE$4:$AE$1048576,{"JK2","MDN","TGR","PKB","PLB","BDL","PMS","PDG","BTM","BAC","JBI","PKP","BKL","LSE","PJT"},Database!$AK$4:$AK$1048576,"=4",Database!$AG$4:$AG$1048576,"Subdis")),0)))),IF($I$4="Tengah",IF($I$5="All",SUM(SUMIFS(Database!$AK$4:$AK$1048576,Database!$AC$4:$AC$1048576,$I$3,Database!$AE$4:$AE$1048576,{"JK1","JK3","BDG","SMG","BGR","YOG","SLO","CRB","PWK","BKS","KDS","TGL","TSK","SKI","BD2"},Database!$AK$4:$AK$1048576,"=4")),IF($I$5="Apotek",SUM(SUMIFS(Database!$AK$4:$AK$1048576,Database!$AC$4:$AC$1048576,$I$3,Database!$AE$4:$AE$1048576,{"JK1","JK3","BDG","SMG","BGR","YOG","SLO","CRB","PWK","BKS","KDS","TGL","TSK","SKI","BD2"},Database!$AK$4:$AK$1048576,"=4",Database!$AG$4:$AG$1048576,"Apotek")),IF($I$5="Rumah Sakit",SUM(SUMIFS(Database!$AK$4:$AK$1048576,Database!$AC$4:$AC$1048576,$I$3,Database!$AE$4:$AE$1048576,{"JK1","JK3","BDG","SMG","BGR","YOG","SLO","CRB","PWK","BKS","KDS","TGL","TSK","SKI","BD2"},Database!$AK$4:$AK$1048576,"=4",Database!$AG$4:$AG$1048576,"Rumah sakit")),IF($I$5="Subdis",SUM(SUMIFS(Database!$AK$4:$AK$1048576,Database!$AC$4:$AC$1048576,$I$3,Database!$AE$4:$AE$1048576,{"JK1","JK3","BDG","SMG","BGR","YOG","SLO","CRB","PWK","BKS","KDS","TGL","TSK","SKI","BD2"},Database!$AK$4:$AK$1048576,"=4",Database!$AG$4:$AG$1048576,"Subdis")),0)))),IF($I$4="Timur",IF($I$5="All",SUM(SUMIFS(Database!$AK$4:$AK$1048576,Database!$AC$4:$AC$1048576,$I$3,Database!$AE$4:$AE$1048576,{"SB1","SB2","BMS","MKS","DPS","KDR","MLG","SMD","PTK","JBR","MNO","JPU","MTR","BPP","KPG","PLU"},Database!$AK$4:$AK$1048576,"=4")),IF($I$5="Apotek",SUM(SUMIFS(Database!$AK$4:$AK$1048576,Database!$AC$4:$AC$1048576,$I$3,Database!$AE$4:$AE$1048576,{"SB1","SB2","BMS","MKS","DPS","KDR","MLG","SMD","PTK","JBR","MNO","JPU","MTR","BPP","KPG","PLU"},Database!$AK$4:$AK$1048576,"=4",Database!$AG$4:$AG$1048576,"Apotek")),IF($I$5="Rumah Sakit",SUM(SUMIFS(Database!$AK$4:$AK$1048576,Database!$AC$4:$AC$1048576,$I$3,Database!$AE$4:$AE$1048576,{"SB1","SB2","BMS","MKS","DPS","KDR","MLG","SMD","PTK","JBR","MNO","JPU","MTR","BPP","KPG","PLU"},Database!$AK$4:$AK$1048576,"=4",Database!$AG$4:$AG$1048576,"Rumah sakit")),IF($I$5="Subdis",SUM(SUMIFS(Database!$AK$4:$AK$1048576,Database!$AC$4:$AC$1048576,$I$3,Database!$AE$4:$AE$1048576,{"SB1","SB2","BMS","MKS","DPS","KDR","MLG","SMD","PTK","JBR","MNO","JPU","MTR","BPP","KPG","PLU"},Database!$AK$4:$AK$1048576,"=4",Database!$AG$4:$AG$1048576,"Subdis")),0)))))))/$E$8</f>
        <v>0</v>
      </c>
      <c r="L12" s="9">
        <f t="shared" si="1"/>
        <v>0</v>
      </c>
      <c r="M12" s="10" t="e">
        <f t="shared" si="2"/>
        <v>#DIV/0!</v>
      </c>
      <c r="N12" s="10" t="e">
        <f t="shared" si="3"/>
        <v>#DIV/0!</v>
      </c>
      <c r="O12" s="32" t="e">
        <f t="shared" si="4"/>
        <v>#DIV/0!</v>
      </c>
      <c r="P12" s="11" t="s">
        <v>1</v>
      </c>
      <c r="Q12" s="32" t="e">
        <f t="shared" si="5"/>
        <v>#DIV/0!</v>
      </c>
      <c r="R12" s="81" t="e">
        <f t="shared" si="6"/>
        <v>#DIV/0!</v>
      </c>
      <c r="S12" s="81" t="e">
        <f t="shared" si="7"/>
        <v>#DIV/0!</v>
      </c>
      <c r="T12" s="81" t="e">
        <f t="shared" si="8"/>
        <v>#DIV/0!</v>
      </c>
      <c r="U12" s="81" t="e">
        <f t="shared" si="9"/>
        <v>#DIV/0!</v>
      </c>
      <c r="V12" s="257"/>
    </row>
    <row r="13" spans="1:22" ht="18" x14ac:dyDescent="0.35">
      <c r="A13" s="9" t="s">
        <v>18</v>
      </c>
      <c r="B13" s="23">
        <f>IF($I$4="Barat",IF($I$5="All",SUM(SUMIFS(Database!$K$4:$K$1048576,Database!$B$4:$B$1048576,$I$3,Database!$D$4:$D$1048576,{"JK2","MDN","TGR","PKB","PLB","BDL","PMS","PDG","BTM","BAC","JBI","PKP","BKL","LSE","PJT"},Database!$K$4:$K$1048576,"=1")),IF($I$5="Apotek",SUM(SUMIFS(Database!$K$4:$K$1048576,Database!$B$4:$B$1048576,$I$3,Database!$D$4:$D$1048576,{"JK2","MDN","TGR","PKB","PLB","BDL","PMS","PDG","BTM","BAC","JBI","PKP","BKL","LSE","PJT"},Database!$K$4:$K$1048576,"=1",Database!$F$4:$F$1048576,"Apotek")),IF($I$5="Rumah Sakit",SUM(SUMIFS(Database!$K$4:$K$1048576,Database!$B$4:$B$1048576,$I$3,Database!$D$4:$D$1048576,{"JK2","MDN","TGR","PKB","PLB","BDL","PMS","PDG","BTM","BAC","JBI","PKP","BKL","LSE","PJT"},Database!$K$4:$K$1048576,"=1",Database!$F$4:$F$1048576,"Rumah sakit")),IF($I$5="Subdis",SUM(SUMIFS(Database!$K$4:$K$1048576,Database!$B$4:$B$1048576,$I$3,Database!$D$4:$D$1048576,{"JK2","MDN","TGR","PKB","PLB","BDL","PMS","PDG","BTM","BAC","JBI","PKP","BKL","LSE","PJT"},Database!$K$4:$K$1048576,"=1",Database!$F$4:$F$1048576,"Subdis")),0)))),IF($I$4="Tengah",IF($I$5="All",SUM(SUMIFS(Database!$K$4:$K$1048576,Database!$B$4:$B$1048576,$I$3,Database!$D$4:$D$1048576,{"JK1","JK3","BDG","SMG","BGR","YOG","SLO","CRB","PWK","BKS","KDS","TGL","TSK","SKI","BD2"},Database!$K$4:$K$1048576,"=1")),IF($I$5="Apotek",SUM(SUMIFS(Database!$K$4:$K$1048576,Database!$B$4:$B$1048576,$I$3,Database!$D$4:$D$1048576,{"JK1","JK3","BDG","SMG","BGR","YOG","SLO","CRB","PWK","BKS","KDS","TGL","TSK","SKI","BD2"},Database!$K$4:$K$1048576,"=1",Database!$F$4:$F$1048576,"Apotek")),IF($I$5="Rumah Sakit",SUM(SUMIFS(Database!$K$4:$K$1048576,Database!$B$4:$B$1048576,$I$3,Database!$D$4:$D$1048576,{"JK1","JK3","BDG","SMG","BGR","YOG","SLO","CRB","PWK","BKS","KDS","TGL","TSK","SKI","BD2"},Database!$K$4:$K$1048576,"=1",Database!$F$4:$F$1048576,"Rumah sakit")),IF($I$5="Subdis",SUM(SUMIFS(Database!$K$4:$K$1048576,Database!$B$4:$B$1048576,$I$3,Database!$D$4:$D$1048576,{"JK1","JK3","BDG","SMG","BGR","YOG","SLO","CRB","PWK","BKS","KDS","TGL","TSK","SKI","BD2"},Database!$K$4:$K$1048576,"=1",Database!$F$4:$F$1048576,"Subdis")),0)))),IF($I$4="Timur",IF($I$5="All",SUM(SUMIFS(Database!$K$4:$K$1048576,Database!$B$4:$B$1048576,$I$3,Database!$D$4:$D$1048576,{"SB1","SB2","BMS","MKS","DPS","KDR","MLG","SMD","PTK","JBR","MNO","JPU","MTR","BPP","KPG","PLU"},Database!$K$4:$K$1048576,"=1")),IF($I$5="Apotek",SUM(SUMIFS(Database!$K$4:$K$1048576,Database!$B$4:$B$1048576,$I$3,Database!$D$4:$D$1048576,{"SB1","SB2","BMS","MKS","DPS","KDR","MLG","SMD","PTK","JBR","MNO","JPU","MTR","BPP","KPG","PLU"},Database!$K$4:$K$1048576,"=1",Database!$F$4:$F$1048576,"Apotek")),IF($I$5="Rumah Sakit",SUM(SUMIFS(Database!$K$4:$K$1048576,Database!$B$4:$B$1048576,$I$3,Database!$D$4:$D$1048576,{"SB1","SB2","BMS","MKS","DPS","KDR","MLG","SMD","PTK","JBR","MNO","JPU","MTR","BPP","KPG","PLU"},Database!$K$4:$K$1048576,"=1",Database!$F$4:$F$1048576,"Rumah sakit")),IF($I$5="Subdis",SUM(SUMIFS(Database!$K$4:$K$1048576,Database!$B$4:$B$1048576,$I$3,Database!$D$4:$D$1048576,{"SB1","SB2","BMS","MKS","DPS","KDR","MLG","SMD","PTK","JBR","MNO","JPU","MTR","BPP","KPG","PLU"},Database!$K$4:$K$1048576,"=1",Database!$F$4:$F$1048576,"Subdis")),0)))))))/$B$8</f>
        <v>0</v>
      </c>
      <c r="C13" s="23">
        <f>IF($I$4="Barat",IF($I$5="All",SUM(SUMIFS(Database!$K$4:$K$1048576,Database!$B$4:$B$1048576,$I$3,Database!$D$4:$D$1048576,{"JK2","MDN","TGR","PKB","PLB","BDL","PMS","PDG","BTM","BAC","JBI","PKP","BKL","LSE","PJT"},Database!$K$4:$K$1048576,"=2")),IF($I$5="Apotek",SUM(SUMIFS(Database!$K$4:$K$1048576,Database!$B$4:$B$1048576,$I$3,Database!$D$4:$D$1048576,{"JK2","MDN","TGR","PKB","PLB","BDL","PMS","PDG","BTM","BAC","JBI","PKP","BKL","LSE","PJT"},Database!$K$4:$K$1048576,"=2",Database!$F$4:$F$1048576,"Apotek")),IF($I$5="Rumah Sakit",SUM(SUMIFS(Database!$K$4:$K$1048576,Database!$B$4:$B$1048576,$I$3,Database!$D$4:$D$1048576,{"JK2","MDN","TGR","PKB","PLB","BDL","PMS","PDG","BTM","BAC","JBI","PKP","BKL","LSE","PJT"},Database!$K$4:$K$1048576,"=2",Database!$F$4:$F$1048576,"Rumah sakit")),IF($I$5="Subdis",SUM(SUMIFS(Database!$K$4:$K$1048576,Database!$B$4:$B$1048576,$I$3,Database!$D$4:$D$1048576,{"JK2","MDN","TGR","PKB","PLB","BDL","PMS","PDG","BTM","BAC","JBI","PKP","BKL","LSE","PJT"},Database!$K$4:$K$1048576,"=2",Database!$F$4:$F$1048576,"Subdis")),0)))),IF($I$4="Tengah",IF($I$5="All",SUM(SUMIFS(Database!$K$4:$K$1048576,Database!$B$4:$B$1048576,$I$3,Database!$D$4:$D$1048576,{"JK1","JK3","BDG","SMG","BGR","YOG","SLO","CRB","PWK","BKS","KDS","TGL","TSK","SKI","BD2"},Database!$K$4:$K$1048576,"=2")),IF($I$5="Apotek",SUM(SUMIFS(Database!$K$4:$K$1048576,Database!$B$4:$B$1048576,$I$3,Database!$D$4:$D$1048576,{"JK1","JK3","BDG","SMG","BGR","YOG","SLO","CRB","PWK","BKS","KDS","TGL","TSK","SKI","BD2"},Database!$K$4:$K$1048576,"=2",Database!$F$4:$F$1048576,"Apotek")),IF($I$5="Rumah Sakit",SUM(SUMIFS(Database!$K$4:$K$1048576,Database!$B$4:$B$1048576,$I$3,Database!$D$4:$D$1048576,{"JK1","JK3","BDG","SMG","BGR","YOG","SLO","CRB","PWK","BKS","KDS","TGL","TSK","SKI","BD2"},Database!$K$4:$K$1048576,"=2",Database!$F$4:$F$1048576,"Rumah sakit")),IF($I$5="Subdis",SUM(SUMIFS(Database!$K$4:$K$1048576,Database!$B$4:$B$1048576,$I$3,Database!$D$4:$D$1048576,{"JK1","JK3","BDG","SMG","BGR","YOG","SLO","CRB","PWK","BKS","KDS","TGL","TSK","SKI","BD2"},Database!$K$4:$K$1048576,"=2",Database!$F$4:$F$1048576,"Subdis")),0)))),IF($I$4="Timur",IF($I$5="All",SUM(SUMIFS(Database!$K$4:$K$1048576,Database!$B$4:$B$1048576,$I$3,Database!$D$4:$D$1048576,{"SB1","SB2","BMS","MKS","DPS","KDR","MLG","SMD","PTK","JBR","MNO","JPU","MTR","BPP","KPG","PLU"},Database!$K$4:$K$1048576,"=2")),IF($I$5="Apotek",SUM(SUMIFS(Database!$K$4:$K$1048576,Database!$B$4:$B$1048576,$I$3,Database!$D$4:$D$1048576,{"SB1","SB2","BMS","MKS","DPS","KDR","MLG","SMD","PTK","JBR","MNO","JPU","MTR","BPP","KPG","PLU"},Database!$K$4:$K$1048576,"=2",Database!$F$4:$F$1048576,"Apotek")),IF($I$5="Rumah Sakit",SUM(SUMIFS(Database!$K$4:$K$1048576,Database!$B$4:$B$1048576,$I$3,Database!$D$4:$D$1048576,{"SB1","SB2","BMS","MKS","DPS","KDR","MLG","SMD","PTK","JBR","MNO","JPU","MTR","BPP","KPG","PLU"},Database!$K$4:$K$1048576,"=2",Database!$F$4:$F$1048576,"Rumah sakit")),IF($I$5="Subdis",SUM(SUMIFS(Database!$K$4:$K$1048576,Database!$B$4:$B$1048576,$I$3,Database!$D$4:$D$1048576,{"SB1","SB2","BMS","MKS","DPS","KDR","MLG","SMD","PTK","JBR","MNO","JPU","MTR","BPP","KPG","PLU"},Database!$K$4:$K$1048576,"=2",Database!$F$4:$F$1048576,"Subdis")),0)))))))/$C$8</f>
        <v>0</v>
      </c>
      <c r="D13" s="23">
        <f>IF($I$4="Barat",IF($I$5="All",SUM(SUMIFS(Database!$K$4:$K$1048576,Database!$B$4:$B$1048576,$I$3,Database!$D$4:$D$1048576,{"JK2","MDN","TGR","PKB","PLB","BDL","PMS","PDG","BTM","BAC","JBI","PKP","BKL","LSE","PJT"},Database!$K$4:$K$1048576,"=3")),IF($I$5="Apotek",SUM(SUMIFS(Database!$K$4:$K$1048576,Database!$B$4:$B$1048576,$I$3,Database!$D$4:$D$1048576,{"JK2","MDN","TGR","PKB","PLB","BDL","PMS","PDG","BTM","BAC","JBI","PKP","BKL","LSE","PJT"},Database!$K$4:$K$1048576,"=3",Database!$F$4:$F$1048576,"Apotek")),IF($I$5="Rumah Sakit",SUM(SUMIFS(Database!$K$4:$K$1048576,Database!$B$4:$B$1048576,$I$3,Database!$D$4:$D$1048576,{"JK2","MDN","TGR","PKB","PLB","BDL","PMS","PDG","BTM","BAC","JBI","PKP","BKL","LSE","PJT"},Database!$K$4:$K$1048576,"=3",Database!$F$4:$F$1048576,"Rumah sakit")),IF($I$5="Subdis",SUM(SUMIFS(Database!$K$4:$K$1048576,Database!$B$4:$B$1048576,$I$3,Database!$D$4:$D$1048576,{"JK2","MDN","TGR","PKB","PLB","BDL","PMS","PDG","BTM","BAC","JBI","PKP","BKL","LSE","PJT"},Database!$K$4:$K$1048576,"=3",Database!$F$4:$F$1048576,"Subdis")),0)))),IF($I$4="Tengah",IF($I$5="All",SUM(SUMIFS(Database!$K$4:$K$1048576,Database!$B$4:$B$1048576,$I$3,Database!$D$4:$D$1048576,{"JK1","JK3","BDG","SMG","BGR","YOG","SLO","CRB","PWK","BKS","KDS","TGL","TSK","SKI","BD2"},Database!$K$4:$K$1048576,"=3")),IF($I$5="Apotek",SUM(SUMIFS(Database!$K$4:$K$1048576,Database!$B$4:$B$1048576,$I$3,Database!$D$4:$D$1048576,{"JK1","JK3","BDG","SMG","BGR","YOG","SLO","CRB","PWK","BKS","KDS","TGL","TSK","SKI","BD2"},Database!$K$4:$K$1048576,"=3",Database!$F$4:$F$1048576,"Apotek")),IF($I$5="Rumah Sakit",SUM(SUMIFS(Database!$K$4:$K$1048576,Database!$B$4:$B$1048576,$I$3,Database!$D$4:$D$1048576,{"JK1","JK3","BDG","SMG","BGR","YOG","SLO","CRB","PWK","BKS","KDS","TGL","TSK","SKI","BD2"},Database!$K$4:$K$1048576,"=3",Database!$F$4:$F$1048576,"Rumah sakit")),IF($I$5="Subdis",SUM(SUMIFS(Database!$K$4:$K$1048576,Database!$B$4:$B$1048576,$I$3,Database!$D$4:$D$1048576,{"JK1","JK3","BDG","SMG","BGR","YOG","SLO","CRB","PWK","BKS","KDS","TGL","TSK","SKI","BD2"},Database!$K$4:$K$1048576,"=3",Database!$F$4:$F$1048576,"Subdis")),0)))),IF($I$4="Timur",IF($I$5="All",SUM(SUMIFS(Database!$K$4:$K$1048576,Database!$B$4:$B$1048576,$I$3,Database!$D$4:$D$1048576,{"SB1","SB2","BMS","MKS","DPS","KDR","MLG","SMD","PTK","JBR","MNO","JPU","MTR","BPP","KPG","PLU"},Database!$K$4:$K$1048576,"=3")),IF($I$5="Apotek",SUM(SUMIFS(Database!$K$4:$K$1048576,Database!$B$4:$B$1048576,$I$3,Database!$D$4:$D$1048576,{"SB1","SB2","BMS","MKS","DPS","KDR","MLG","SMD","PTK","JBR","MNO","JPU","MTR","BPP","KPG","PLU"},Database!$K$4:$K$1048576,"=3",Database!$F$4:$F$1048576,"Apotek")),IF($I$5="Rumah Sakit",SUM(SUMIFS(Database!$K$4:$K$1048576,Database!$B$4:$B$1048576,$I$3,Database!$D$4:$D$1048576,{"SB1","SB2","BMS","MKS","DPS","KDR","MLG","SMD","PTK","JBR","MNO","JPU","MTR","BPP","KPG","PLU"},Database!$K$4:$K$1048576,"=3",Database!$F$4:$F$1048576,"Rumah sakit")),IF($I$5="Subdis",SUM(SUMIFS(Database!$K$4:$K$1048576,Database!$B$4:$B$1048576,$I$3,Database!$D$4:$D$1048576,{"SB1","SB2","BMS","MKS","DPS","KDR","MLG","SMD","PTK","JBR","MNO","JPU","MTR","BPP","KPG","PLU"},Database!$K$4:$K$1048576,"=3",Database!$F$4:$F$1048576,"Subdis")),0)))))))/$D$8</f>
        <v>0</v>
      </c>
      <c r="E13" s="23">
        <f>IF($I$4="Barat",IF($I$5="All",SUM(SUMIFS(Database!$K$4:$K$1048576,Database!$B$4:$B$1048576,$I$3,Database!$D$4:$D$1048576,{"JK2","MDN","TGR","PKB","PLB","BDL","PMS","PDG","BTM","BAC","JBI","PKP","BKL","LSE","PJT"},Database!$K$4:$K$1048576,"=4")),IF($I$5="Apotek",SUM(SUMIFS(Database!$K$4:$K$1048576,Database!$B$4:$B$1048576,$I$3,Database!$D$4:$D$1048576,{"JK2","MDN","TGR","PKB","PLB","BDL","PMS","PDG","BTM","BAC","JBI","PKP","BKL","LSE","PJT"},Database!$K$4:$K$1048576,"=4",Database!$F$4:$F$1048576,"Apotek")),IF($I$5="Rumah Sakit",SUM(SUMIFS(Database!$K$4:$K$1048576,Database!$B$4:$B$1048576,$I$3,Database!$D$4:$D$1048576,{"JK2","MDN","TGR","PKB","PLB","BDL","PMS","PDG","BTM","BAC","JBI","PKP","BKL","LSE","PJT"},Database!$K$4:$K$1048576,"=4",Database!$F$4:$F$1048576,"Rumah sakit")),IF($I$5="Subdis",SUM(SUMIFS(Database!$K$4:$K$1048576,Database!$B$4:$B$1048576,$I$3,Database!$D$4:$D$1048576,{"JK2","MDN","TGR","PKB","PLB","BDL","PMS","PDG","BTM","BAC","JBI","PKP","BKL","LSE","PJT"},Database!$K$4:$K$1048576,"=4",Database!$F$4:$F$1048576,"Subdis")),0)))),IF($I$4="Tengah",IF($I$5="All",SUM(SUMIFS(Database!$K$4:$K$1048576,Database!$B$4:$B$1048576,$I$3,Database!$D$4:$D$1048576,{"JK1","JK3","BDG","SMG","BGR","YOG","SLO","CRB","PWK","BKS","KDS","TGL","TSK","SKI","BD2"},Database!$K$4:$K$1048576,"=4")),IF($I$5="Apotek",SUM(SUMIFS(Database!$K$4:$K$1048576,Database!$B$4:$B$1048576,$I$3,Database!$D$4:$D$1048576,{"JK1","JK3","BDG","SMG","BGR","YOG","SLO","CRB","PWK","BKS","KDS","TGL","TSK","SKI","BD2"},Database!$K$4:$K$1048576,"=4",Database!$F$4:$F$1048576,"Apotek")),IF($I$5="Rumah Sakit",SUM(SUMIFS(Database!$K$4:$K$1048576,Database!$B$4:$B$1048576,$I$3,Database!$D$4:$D$1048576,{"JK1","JK3","BDG","SMG","BGR","YOG","SLO","CRB","PWK","BKS","KDS","TGL","TSK","SKI","BD2"},Database!$K$4:$K$1048576,"=4",Database!$F$4:$F$1048576,"Rumah sakit")),IF($I$5="Subdis",SUM(SUMIFS(Database!$K$4:$K$1048576,Database!$B$4:$B$1048576,$I$3,Database!$D$4:$D$1048576,{"JK1","JK3","BDG","SMG","BGR","YOG","SLO","CRB","PWK","BKS","KDS","TGL","TSK","SKI","BD2"},Database!$K$4:$K$1048576,"=4",Database!$F$4:$F$1048576,"Subdis")),0)))),IF($I$4="Timur",IF($I$5="All",SUM(SUMIFS(Database!$K$4:$K$1048576,Database!$B$4:$B$1048576,$I$3,Database!$D$4:$D$1048576,{"SB1","SB2","BMS","MKS","DPS","KDR","MLG","SMD","PTK","JBR","MNO","JPU","MTR","BPP","KPG","PLU"},Database!$K$4:$K$1048576,"=4")),IF($I$5="Apotek",SUM(SUMIFS(Database!$K$4:$K$1048576,Database!$B$4:$B$1048576,$I$3,Database!$D$4:$D$1048576,{"SB1","SB2","BMS","MKS","DPS","KDR","MLG","SMD","PTK","JBR","MNO","JPU","MTR","BPP","KPG","PLU"},Database!$K$4:$K$1048576,"=4",Database!$F$4:$F$1048576,"Apotek")),IF($I$5="Rumah Sakit",SUM(SUMIFS(Database!$K$4:$K$1048576,Database!$B$4:$B$1048576,$I$3,Database!$D$4:$D$1048576,{"SB1","SB2","BMS","MKS","DPS","KDR","MLG","SMD","PTK","JBR","MNO","JPU","MTR","BPP","KPG","PLU"},Database!$K$4:$K$1048576,"=4",Database!$F$4:$F$1048576,"Rumah sakit")),IF($I$5="Subdis",SUM(SUMIFS(Database!$K$4:$K$1048576,Database!$B$4:$B$1048576,$I$3,Database!$D$4:$D$1048576,{"SB1","SB2","BMS","MKS","DPS","KDR","MLG","SMD","PTK","JBR","MNO","JPU","MTR","BPP","KPG","PLU"},Database!$K$4:$K$1048576,"=4",Database!$F$4:$F$1048576,"Subdis")),0)))))))/$E$8</f>
        <v>0</v>
      </c>
      <c r="F13" s="9">
        <f t="shared" si="0"/>
        <v>0</v>
      </c>
      <c r="G13" s="10" t="e">
        <f t="shared" si="10"/>
        <v>#DIV/0!</v>
      </c>
      <c r="H13" s="23">
        <f>IF($I$4="Barat",IF($I$5="All",SUM(SUMIFS(Database!$AL$4:$AL$1048576,Database!$AC$4:$AC$1048576,$I$3,Database!$AE$4:$AE$1048576,{"JK2","MDN","TGR","PKB","PLB","BDL","PMS","PDG","BTM","BAC","JBI","PKP","BKL","LSE","PJT"},Database!$AL$4:$AL$1048576,"=1")),IF($I$5="Apotek",SUM(SUMIFS(Database!$AL$4:$AL$1048576,Database!$AC$4:$AC$1048576,$I$3,Database!$AE$4:$AE$1048576,{"JK2","MDN","TGR","PKB","PLB","BDL","PMS","PDG","BTM","BAC","JBI","PKP","BKL","LSE","PJT"},Database!$AL$4:$AL$1048576,"=1",Database!$AG$4:$AG$1048576,"Apotek")),IF($I$5="Rumah Sakit",SUM(SUMIFS(Database!$AL$4:$AL$1048576,Database!$AC$4:$AC$1048576,$I$3,Database!$AE$4:$AE$1048576,{"JK2","MDN","TGR","PKB","PLB","BDL","PMS","PDG","BTM","BAC","JBI","PKP","BKL","LSE","PJT"},Database!$AL$4:$AL$1048576,"=1",Database!$AG$4:$AG$1048576,"Rumah sakit")),IF($I$5="Subdis",SUM(SUMIFS(Database!$AL$4:$AL$1048576,Database!$AC$4:$AC$1048576,$I$3,Database!$AE$4:$AE$1048576,{"JK2","MDN","TGR","PKB","PLB","BDL","PMS","PDG","BTM","BAC","JBI","PKP","BKL","LSE","PJT"},Database!$AL$4:$AL$1048576,"=1",Database!$AG$4:$AG$1048576,"Subdis")),0)))),IF($I$4="Tengah",IF($I$5="All",SUM(SUMIFS(Database!$AL$4:$AL$1048576,Database!$AC$4:$AC$1048576,$I$3,Database!$AE$4:$AE$1048576,{"JK1","JK3","BDG","SMG","BGR","YOG","SLO","CRB","PWK","BKS","KDS","TGL","TSK","SKI","BD2"},Database!$AL$4:$AL$1048576,"=1")),IF($I$5="Apotek",SUM(SUMIFS(Database!$AL$4:$AL$1048576,Database!$AC$4:$AC$1048576,$I$3,Database!$AE$4:$AE$1048576,{"JK1","JK3","BDG","SMG","BGR","YOG","SLO","CRB","PWK","BKS","KDS","TGL","TSK","SKI","BD2"},Database!$AL$4:$AL$1048576,"=1",Database!$AG$4:$AG$1048576,"Apotek")),IF($I$5="Rumah Sakit",SUM(SUMIFS(Database!$AL$4:$AL$1048576,Database!$AC$4:$AC$1048576,$I$3,Database!$AE$4:$AE$1048576,{"JK1","JK3","BDG","SMG","BGR","YOG","SLO","CRB","PWK","BKS","KDS","TGL","TSK","SKI","BD2"},Database!$AL$4:$AL$1048576,"=1",Database!$AG$4:$AG$1048576,"Rumah sakit")),IF($I$5="Subdis",SUM(SUMIFS(Database!$AL$4:$AL$1048576,Database!$AC$4:$AC$1048576,$I$3,Database!$AE$4:$AE$1048576,{"JK1","JK3","BDG","SMG","BGR","YOG","SLO","CRB","PWK","BKS","KDS","TGL","TSK","SKI","BD2"},Database!$AL$4:$AL$1048576,"=1",Database!$AG$4:$AG$1048576,"Subdis")),0)))),IF($I$4="Timur",IF($I$5="All",SUM(SUMIFS(Database!$AL$4:$AL$1048576,Database!$AC$4:$AC$1048576,$I$3,Database!$AE$4:$AE$1048576,{"SB1","SB2","BMS","MKS","DPS","KDR","MLG","SMD","PTK","JBR","MNO","JPU","MTR","BPP","KPG","PLU"},Database!$AL$4:$AL$1048576,"=1")),IF($I$5="Apotek",SUM(SUMIFS(Database!$AL$4:$AL$1048576,Database!$AC$4:$AC$1048576,$I$3,Database!$AE$4:$AE$1048576,{"SB1","SB2","BMS","MKS","DPS","KDR","MLG","SMD","PTK","JBR","MNO","JPU","MTR","BPP","KPG","PLU"},Database!$AL$4:$AL$1048576,"=1",Database!$AG$4:$AG$1048576,"Apotek")),IF($I$5="Rumah Sakit",SUM(SUMIFS(Database!$AL$4:$AL$1048576,Database!$AC$4:$AC$1048576,$I$3,Database!$AE$4:$AE$1048576,{"SB1","SB2","BMS","MKS","DPS","KDR","MLG","SMD","PTK","JBR","MNO","JPU","MTR","BPP","KPG","PLU"},Database!$AL$4:$AL$1048576,"=1",Database!$AG$4:$AG$1048576,"Rumah sakit")),IF($I$5="Subdis",SUM(SUMIFS(Database!$AL$4:$AL$1048576,Database!$AC$4:$AC$1048576,$I$3,Database!$AE$4:$AE$1048576,{"SB1","SB2","BMS","MKS","DPS","KDR","MLG","SMD","PTK","JBR","MNO","JPU","MTR","BPP","KPG","PLU"},Database!$AL$4:$AL$1048576,"=1",Database!$AG$4:$AG$1048576,"Subdis")),0)))))))/$B$8</f>
        <v>0</v>
      </c>
      <c r="I13" s="23">
        <f>IF($I$4="Barat",IF($I$5="All",SUM(SUMIFS(Database!$AL$4:$AL$1048576,Database!$AC$4:$AC$1048576,$I$3,Database!$AE$4:$AE$1048576,{"JK2","MDN","TGR","PKB","PLB","BDL","PMS","PDG","BTM","BAC","JBI","PKP","BKL","LSE","PJT"},Database!$AL$4:$AL$1048576,"=2")),IF($I$5="Apotek",SUM(SUMIFS(Database!$AL$4:$AL$1048576,Database!$AC$4:$AC$1048576,$I$3,Database!$AE$4:$AE$1048576,{"JK2","MDN","TGR","PKB","PLB","BDL","PMS","PDG","BTM","BAC","JBI","PKP","BKL","LSE","PJT"},Database!$AL$4:$AL$1048576,"=2",Database!$AG$4:$AG$1048576,"Apotek")),IF($I$5="Rumah Sakit",SUM(SUMIFS(Database!$AL$4:$AL$1048576,Database!$AC$4:$AC$1048576,$I$3,Database!$AE$4:$AE$1048576,{"JK2","MDN","TGR","PKB","PLB","BDL","PMS","PDG","BTM","BAC","JBI","PKP","BKL","LSE","PJT"},Database!$AL$4:$AL$1048576,"=2",Database!$AG$4:$AG$1048576,"Rumah sakit")),IF($I$5="Subdis",SUM(SUMIFS(Database!$AL$4:$AL$1048576,Database!$AC$4:$AC$1048576,$I$3,Database!$AE$4:$AE$1048576,{"JK2","MDN","TGR","PKB","PLB","BDL","PMS","PDG","BTM","BAC","JBI","PKP","BKL","LSE","PJT"},Database!$AL$4:$AL$1048576,"=2",Database!$AG$4:$AG$1048576,"Subdis")),0)))),IF($I$4="Tengah",IF($I$5="All",SUM(SUMIFS(Database!$AL$4:$AL$1048576,Database!$AC$4:$AC$1048576,$I$3,Database!$AE$4:$AE$1048576,{"JK1","JK3","BDG","SMG","BGR","YOG","SLO","CRB","PWK","BKS","KDS","TGL","TSK","SKI","BD2"},Database!$AL$4:$AL$1048576,"=2")),IF($I$5="Apotek",SUM(SUMIFS(Database!$AL$4:$AL$1048576,Database!$AC$4:$AC$1048576,$I$3,Database!$AE$4:$AE$1048576,{"JK1","JK3","BDG","SMG","BGR","YOG","SLO","CRB","PWK","BKS","KDS","TGL","TSK","SKI","BD2"},Database!$AL$4:$AL$1048576,"=2",Database!$AG$4:$AG$1048576,"Apotek")),IF($I$5="Rumah Sakit",SUM(SUMIFS(Database!$AL$4:$AL$1048576,Database!$AC$4:$AC$1048576,$I$3,Database!$AE$4:$AE$1048576,{"JK1","JK3","BDG","SMG","BGR","YOG","SLO","CRB","PWK","BKS","KDS","TGL","TSK","SKI","BD2"},Database!$AL$4:$AL$1048576,"=2",Database!$AG$4:$AG$1048576,"Rumah sakit")),IF($I$5="Subdis",SUM(SUMIFS(Database!$AL$4:$AL$1048576,Database!$AC$4:$AC$1048576,$I$3,Database!$AE$4:$AE$1048576,{"JK1","JK3","BDG","SMG","BGR","YOG","SLO","CRB","PWK","BKS","KDS","TGL","TSK","SKI","BD2"},Database!$AL$4:$AL$1048576,"=2",Database!$AG$4:$AG$1048576,"Subdis")),0)))),IF($I$4="Timur",IF($I$5="All",SUM(SUMIFS(Database!$AL$4:$AL$1048576,Database!$AC$4:$AC$1048576,$I$3,Database!$AE$4:$AE$1048576,{"SB1","SB2","BMS","MKS","DPS","KDR","MLG","SMD","PTK","JBR","MNO","JPU","MTR","BPP","KPG","PLU"},Database!$AL$4:$AL$1048576,"=2")),IF($I$5="Apotek",SUM(SUMIFS(Database!$AL$4:$AL$1048576,Database!$AC$4:$AC$1048576,$I$3,Database!$AE$4:$AE$1048576,{"SB1","SB2","BMS","MKS","DPS","KDR","MLG","SMD","PTK","JBR","MNO","JPU","MTR","BPP","KPG","PLU"},Database!$AL$4:$AL$1048576,"=2",Database!$AG$4:$AG$1048576,"Apotek")),IF($I$5="Rumah Sakit",SUM(SUMIFS(Database!$AL$4:$AL$1048576,Database!$AC$4:$AC$1048576,$I$3,Database!$AE$4:$AE$1048576,{"SB1","SB2","BMS","MKS","DPS","KDR","MLG","SMD","PTK","JBR","MNO","JPU","MTR","BPP","KPG","PLU"},Database!$AL$4:$AL$1048576,"=2",Database!$AG$4:$AG$1048576,"Rumah sakit")),IF($I$5="Subdis",SUM(SUMIFS(Database!$AL$4:$AL$1048576,Database!$AC$4:$AC$1048576,$I$3,Database!$AE$4:$AE$1048576,{"SB1","SB2","BMS","MKS","DPS","KDR","MLG","SMD","PTK","JBR","MNO","JPU","MTR","BPP","KPG","PLU"},Database!$AL$4:$AL$1048576,"=2",Database!$AG$4:$AG$1048576,"Subdis")),0)))))))/$C$8</f>
        <v>0</v>
      </c>
      <c r="J13" s="23">
        <f>IF($I$4="Barat",IF($I$5="All",SUM(SUMIFS(Database!$AL$4:$AL$1048576,Database!$AC$4:$AC$1048576,$I$3,Database!$AE$4:$AE$1048576,{"JK2","MDN","TGR","PKB","PLB","BDL","PMS","PDG","BTM","BAC","JBI","PKP","BKL","LSE","PJT"},Database!$AL$4:$AL$1048576,"=3")),IF($I$5="Apotek",SUM(SUMIFS(Database!$AL$4:$AL$1048576,Database!$AC$4:$AC$1048576,$I$3,Database!$AE$4:$AE$1048576,{"JK2","MDN","TGR","PKB","PLB","BDL","PMS","PDG","BTM","BAC","JBI","PKP","BKL","LSE","PJT"},Database!$AL$4:$AL$1048576,"=3",Database!$AG$4:$AG$1048576,"Apotek")),IF($I$5="Rumah Sakit",SUM(SUMIFS(Database!$AL$4:$AL$1048576,Database!$AC$4:$AC$1048576,$I$3,Database!$AE$4:$AE$1048576,{"JK2","MDN","TGR","PKB","PLB","BDL","PMS","PDG","BTM","BAC","JBI","PKP","BKL","LSE","PJT"},Database!$AL$4:$AL$1048576,"=3",Database!$AG$4:$AG$1048576,"Rumah sakit")),IF($I$5="Subdis",SUM(SUMIFS(Database!$AL$4:$AL$1048576,Database!$AC$4:$AC$1048576,$I$3,Database!$AE$4:$AE$1048576,{"JK2","MDN","TGR","PKB","PLB","BDL","PMS","PDG","BTM","BAC","JBI","PKP","BKL","LSE","PJT"},Database!$AL$4:$AL$1048576,"=3",Database!$AG$4:$AG$1048576,"Subdis")),0)))),IF($I$4="Tengah",IF($I$5="All",SUM(SUMIFS(Database!$AL$4:$AL$1048576,Database!$AC$4:$AC$1048576,$I$3,Database!$AE$4:$AE$1048576,{"JK1","JK3","BDG","SMG","BGR","YOG","SLO","CRB","PWK","BKS","KDS","TGL","TSK","SKI","BD2"},Database!$AL$4:$AL$1048576,"=3")),IF($I$5="Apotek",SUM(SUMIFS(Database!$AL$4:$AL$1048576,Database!$AC$4:$AC$1048576,$I$3,Database!$AE$4:$AE$1048576,{"JK1","JK3","BDG","SMG","BGR","YOG","SLO","CRB","PWK","BKS","KDS","TGL","TSK","SKI","BD2"},Database!$AL$4:$AL$1048576,"=3",Database!$AG$4:$AG$1048576,"Apotek")),IF($I$5="Rumah Sakit",SUM(SUMIFS(Database!$AL$4:$AL$1048576,Database!$AC$4:$AC$1048576,$I$3,Database!$AE$4:$AE$1048576,{"JK1","JK3","BDG","SMG","BGR","YOG","SLO","CRB","PWK","BKS","KDS","TGL","TSK","SKI","BD2"},Database!$AL$4:$AL$1048576,"=3",Database!$AG$4:$AG$1048576,"Rumah sakit")),IF($I$5="Subdis",SUM(SUMIFS(Database!$AL$4:$AL$1048576,Database!$AC$4:$AC$1048576,$I$3,Database!$AE$4:$AE$1048576,{"JK1","JK3","BDG","SMG","BGR","YOG","SLO","CRB","PWK","BKS","KDS","TGL","TSK","SKI","BD2"},Database!$AL$4:$AL$1048576,"=3",Database!$AG$4:$AG$1048576,"Subdis")),0)))),IF($I$4="Timur",IF($I$5="All",SUM(SUMIFS(Database!$AL$4:$AL$1048576,Database!$AC$4:$AC$1048576,$I$3,Database!$AE$4:$AE$1048576,{"SB1","SB2","BMS","MKS","DPS","KDR","MLG","SMD","PTK","JBR","MNO","JPU","MTR","BPP","KPG","PLU"},Database!$AL$4:$AL$1048576,"=3")),IF($I$5="Apotek",SUM(SUMIFS(Database!$AL$4:$AL$1048576,Database!$AC$4:$AC$1048576,$I$3,Database!$AE$4:$AE$1048576,{"SB1","SB2","BMS","MKS","DPS","KDR","MLG","SMD","PTK","JBR","MNO","JPU","MTR","BPP","KPG","PLU"},Database!$AL$4:$AL$1048576,"=3",Database!$AG$4:$AG$1048576,"Apotek")),IF($I$5="Rumah Sakit",SUM(SUMIFS(Database!$AL$4:$AL$1048576,Database!$AC$4:$AC$1048576,$I$3,Database!$AE$4:$AE$1048576,{"SB1","SB2","BMS","MKS","DPS","KDR","MLG","SMD","PTK","JBR","MNO","JPU","MTR","BPP","KPG","PLU"},Database!$AL$4:$AL$1048576,"=3",Database!$AG$4:$AG$1048576,"Rumah sakit")),IF($I$5="Subdis",SUM(SUMIFS(Database!$AL$4:$AL$1048576,Database!$AC$4:$AC$1048576,$I$3,Database!$AE$4:$AE$1048576,{"SB1","SB2","BMS","MKS","DPS","KDR","MLG","SMD","PTK","JBR","MNO","JPU","MTR","BPP","KPG","PLU"},Database!$AL$4:$AL$1048576,"=3",Database!$AG$4:$AG$1048576,"Subdis")),0)))))))/$D$8</f>
        <v>0</v>
      </c>
      <c r="K13" s="23">
        <f>IF($I$4="Barat",IF($I$5="All",SUM(SUMIFS(Database!$AL$4:$AL$1048576,Database!$AC$4:$AC$1048576,$I$3,Database!$AE$4:$AE$1048576,{"JK2","MDN","TGR","PKB","PLB","BDL","PMS","PDG","BTM","BAC","JBI","PKP","BKL","LSE","PJT"},Database!$AL$4:$AL$1048576,"=4")),IF($I$5="Apotek",SUM(SUMIFS(Database!$AL$4:$AL$1048576,Database!$AC$4:$AC$1048576,$I$3,Database!$AE$4:$AE$1048576,{"JK2","MDN","TGR","PKB","PLB","BDL","PMS","PDG","BTM","BAC","JBI","PKP","BKL","LSE","PJT"},Database!$AL$4:$AL$1048576,"=4",Database!$AG$4:$AG$1048576,"Apotek")),IF($I$5="Rumah Sakit",SUM(SUMIFS(Database!$AL$4:$AL$1048576,Database!$AC$4:$AC$1048576,$I$3,Database!$AE$4:$AE$1048576,{"JK2","MDN","TGR","PKB","PLB","BDL","PMS","PDG","BTM","BAC","JBI","PKP","BKL","LSE","PJT"},Database!$AL$4:$AL$1048576,"=4",Database!$AG$4:$AG$1048576,"Rumah sakit")),IF($I$5="Subdis",SUM(SUMIFS(Database!$AL$4:$AL$1048576,Database!$AC$4:$AC$1048576,$I$3,Database!$AE$4:$AE$1048576,{"JK2","MDN","TGR","PKB","PLB","BDL","PMS","PDG","BTM","BAC","JBI","PKP","BKL","LSE","PJT"},Database!$AL$4:$AL$1048576,"=4",Database!$AG$4:$AG$1048576,"Subdis")),0)))),IF($I$4="Tengah",IF($I$5="All",SUM(SUMIFS(Database!$AL$4:$AL$1048576,Database!$AC$4:$AC$1048576,$I$3,Database!$AE$4:$AE$1048576,{"JK1","JK3","BDG","SMG","BGR","YOG","SLO","CRB","PWK","BKS","KDS","TGL","TSK","SKI","BD2"},Database!$AL$4:$AL$1048576,"=4")),IF($I$5="Apotek",SUM(SUMIFS(Database!$AL$4:$AL$1048576,Database!$AC$4:$AC$1048576,$I$3,Database!$AE$4:$AE$1048576,{"JK1","JK3","BDG","SMG","BGR","YOG","SLO","CRB","PWK","BKS","KDS","TGL","TSK","SKI","BD2"},Database!$AL$4:$AL$1048576,"=4",Database!$AG$4:$AG$1048576,"Apotek")),IF($I$5="Rumah Sakit",SUM(SUMIFS(Database!$AL$4:$AL$1048576,Database!$AC$4:$AC$1048576,$I$3,Database!$AE$4:$AE$1048576,{"JK1","JK3","BDG","SMG","BGR","YOG","SLO","CRB","PWK","BKS","KDS","TGL","TSK","SKI","BD2"},Database!$AL$4:$AL$1048576,"=4",Database!$AG$4:$AG$1048576,"Rumah sakit")),IF($I$5="Subdis",SUM(SUMIFS(Database!$AL$4:$AL$1048576,Database!$AC$4:$AC$1048576,$I$3,Database!$AE$4:$AE$1048576,{"JK1","JK3","BDG","SMG","BGR","YOG","SLO","CRB","PWK","BKS","KDS","TGL","TSK","SKI","BD2"},Database!$AL$4:$AL$1048576,"=4",Database!$AG$4:$AG$1048576,"Subdis")),0)))),IF($I$4="Timur",IF($I$5="All",SUM(SUMIFS(Database!$AL$4:$AL$1048576,Database!$AC$4:$AC$1048576,$I$3,Database!$AE$4:$AE$1048576,{"SB1","SB2","BMS","MKS","DPS","KDR","MLG","SMD","PTK","JBR","MNO","JPU","MTR","BPP","KPG","PLU"},Database!$AL$4:$AL$1048576,"=4")),IF($I$5="Apotek",SUM(SUMIFS(Database!$AL$4:$AL$1048576,Database!$AC$4:$AC$1048576,$I$3,Database!$AE$4:$AE$1048576,{"SB1","SB2","BMS","MKS","DPS","KDR","MLG","SMD","PTK","JBR","MNO","JPU","MTR","BPP","KPG","PLU"},Database!$AL$4:$AL$1048576,"=4",Database!$AG$4:$AG$1048576,"Apotek")),IF($I$5="Rumah Sakit",SUM(SUMIFS(Database!$AL$4:$AL$1048576,Database!$AC$4:$AC$1048576,$I$3,Database!$AE$4:$AE$1048576,{"SB1","SB2","BMS","MKS","DPS","KDR","MLG","SMD","PTK","JBR","MNO","JPU","MTR","BPP","KPG","PLU"},Database!$AL$4:$AL$1048576,"=4",Database!$AG$4:$AG$1048576,"Rumah sakit")),IF($I$5="Subdis",SUM(SUMIFS(Database!$AL$4:$AL$1048576,Database!$AC$4:$AC$1048576,$I$3,Database!$AE$4:$AE$1048576,{"SB1","SB2","BMS","MKS","DPS","KDR","MLG","SMD","PTK","JBR","MNO","JPU","MTR","BPP","KPG","PLU"},Database!$AL$4:$AL$1048576,"=4",Database!$AG$4:$AG$1048576,"Subdis")),0)))))))/$E$8</f>
        <v>0</v>
      </c>
      <c r="L13" s="9">
        <f t="shared" si="1"/>
        <v>0</v>
      </c>
      <c r="M13" s="10" t="e">
        <f t="shared" si="2"/>
        <v>#DIV/0!</v>
      </c>
      <c r="N13" s="10" t="e">
        <f t="shared" si="3"/>
        <v>#DIV/0!</v>
      </c>
      <c r="O13" s="32" t="e">
        <f t="shared" si="4"/>
        <v>#DIV/0!</v>
      </c>
      <c r="P13" s="33" t="s">
        <v>2</v>
      </c>
      <c r="Q13" s="32" t="e">
        <f>RANK(N13,$N$13:$N$14,0)</f>
        <v>#DIV/0!</v>
      </c>
      <c r="R13" s="81" t="e">
        <f t="shared" si="6"/>
        <v>#DIV/0!</v>
      </c>
      <c r="S13" s="81" t="e">
        <f t="shared" si="7"/>
        <v>#DIV/0!</v>
      </c>
      <c r="T13" s="81" t="e">
        <f>RANK(G13,$G$13:$G$14)</f>
        <v>#DIV/0!</v>
      </c>
      <c r="U13" s="81" t="e">
        <f>RANK(M13,$M$13:$M$14)</f>
        <v>#DIV/0!</v>
      </c>
      <c r="V13" s="256" t="s">
        <v>182</v>
      </c>
    </row>
    <row r="14" spans="1:22" ht="18" x14ac:dyDescent="0.35">
      <c r="A14" s="9" t="s">
        <v>19</v>
      </c>
      <c r="B14" s="23">
        <f>IF($I$4="Barat",IF($I$5="All",SUM(SUMIFS(Database!$L$4:$L$1048576,Database!$B$4:$B$1048576,$I$3,Database!$D$4:$D$1048576,{"JK2","MDN","TGR","PKB","PLB","BDL","PMS","PDG","BTM","BAC","JBI","PKP","BKL","LSE","PJT"},Database!$L$4:$L$1048576,"=1")),IF($I$5="Apotek",SUM(SUMIFS(Database!$L$4:$L$1048576,Database!$B$4:$B$1048576,$I$3,Database!$D$4:$D$1048576,{"JK2","MDN","TGR","PKB","PLB","BDL","PMS","PDG","BTM","BAC","JBI","PKP","BKL","LSE","PJT"},Database!$L$4:$L$1048576,"=1",Database!$F$4:$F$1048576,"Apotek")),IF($I$5="Rumah Sakit",SUM(SUMIFS(Database!$L$4:$L$1048576,Database!$B$4:$B$1048576,$I$3,Database!$D$4:$D$1048576,{"JK2","MDN","TGR","PKB","PLB","BDL","PMS","PDG","BTM","BAC","JBI","PKP","BKL","LSE","PJT"},Database!$L$4:$L$1048576,"=1",Database!$F$4:$F$1048576,"Rumah sakit")),IF($I$5="Subdis",SUM(SUMIFS(Database!$L$4:$L$1048576,Database!$B$4:$B$1048576,$I$3,Database!$D$4:$D$1048576,{"JK2","MDN","TGR","PKB","PLB","BDL","PMS","PDG","BTM","BAC","JBI","PKP","BKL","LSE","PJT"},Database!$L$4:$L$1048576,"=1",Database!$F$4:$F$1048576,"Subdis")),0)))),IF($I$4="Tengah",IF($I$5="All",SUM(SUMIFS(Database!$L$4:$L$1048576,Database!$B$4:$B$1048576,$I$3,Database!$D$4:$D$1048576,{"JK1","JK3","BDG","SMG","BGR","YOG","SLO","CRB","PWK","BKS","KDS","TGL","TSK","SKI","BD2"},Database!$L$4:$L$1048576,"=1")),IF($I$5="Apotek",SUM(SUMIFS(Database!$L$4:$L$1048576,Database!$B$4:$B$1048576,$I$3,Database!$D$4:$D$1048576,{"JK1","JK3","BDG","SMG","BGR","YOG","SLO","CRB","PWK","BKS","KDS","TGL","TSK","SKI","BD2"},Database!$L$4:$L$1048576,"=1",Database!$F$4:$F$1048576,"Apotek")),IF($I$5="Rumah Sakit",SUM(SUMIFS(Database!$L$4:$L$1048576,Database!$B$4:$B$1048576,$I$3,Database!$D$4:$D$1048576,{"JK1","JK3","BDG","SMG","BGR","YOG","SLO","CRB","PWK","BKS","KDS","TGL","TSK","SKI","BD2"},Database!$L$4:$L$1048576,"=1",Database!$F$4:$F$1048576,"Rumah sakit")),IF($I$5="Subdis",SUM(SUMIFS(Database!$L$4:$L$1048576,Database!$B$4:$B$1048576,$I$3,Database!$D$4:$D$1048576,{"JK1","JK3","BDG","SMG","BGR","YOG","SLO","CRB","PWK","BKS","KDS","TGL","TSK","SKI","BD2"},Database!$L$4:$L$1048576,"=1",Database!$F$4:$F$1048576,"Subdis")),0)))),IF($I$4="Timur",IF($I$5="All",SUM(SUMIFS(Database!$L$4:$L$1048576,Database!$B$4:$B$1048576,$I$3,Database!$D$4:$D$1048576,{"SB1","SB2","BMS","MKS","DPS","KDR","MLG","SMD","PTK","JBR","MNO","JPU","MTR","BPP","KPG","PLU"},Database!$L$4:$L$1048576,"=1")),IF($I$5="Apotek",SUM(SUMIFS(Database!$L$4:$L$1048576,Database!$B$4:$B$1048576,$I$3,Database!$D$4:$D$1048576,{"SB1","SB2","BMS","MKS","DPS","KDR","MLG","SMD","PTK","JBR","MNO","JPU","MTR","BPP","KPG","PLU"},Database!$L$4:$L$1048576,"=1",Database!$F$4:$F$1048576,"Apotek")),IF($I$5="Rumah Sakit",SUM(SUMIFS(Database!$L$4:$L$1048576,Database!$B$4:$B$1048576,$I$3,Database!$D$4:$D$1048576,{"SB1","SB2","BMS","MKS","DPS","KDR","MLG","SMD","PTK","JBR","MNO","JPU","MTR","BPP","KPG","PLU"},Database!$L$4:$L$1048576,"=1",Database!$F$4:$F$1048576,"Rumah sakit")),IF($I$5="Subdis",SUM(SUMIFS(Database!$L$4:$L$1048576,Database!$B$4:$B$1048576,$I$3,Database!$D$4:$D$1048576,{"SB1","SB2","BMS","MKS","DPS","KDR","MLG","SMD","PTK","JBR","MNO","JPU","MTR","BPP","KPG","PLU"},Database!$L$4:$L$1048576,"=1",Database!$F$4:$F$1048576,"Subdis")),0)))))))/$B$8</f>
        <v>0</v>
      </c>
      <c r="C14" s="23">
        <f>IF($I$4="Barat",IF($I$5="All",SUM(SUMIFS(Database!$L$4:$L$1048576,Database!$B$4:$B$1048576,$I$3,Database!$D$4:$D$1048576,{"JK2","MDN","TGR","PKB","PLB","BDL","PMS","PDG","BTM","BAC","JBI","PKP","BKL","LSE","PJT"},Database!$L$4:$L$1048576,"=2")),IF($I$5="Apotek",SUM(SUMIFS(Database!$L$4:$L$1048576,Database!$B$4:$B$1048576,$I$3,Database!$D$4:$D$1048576,{"JK2","MDN","TGR","PKB","PLB","BDL","PMS","PDG","BTM","BAC","JBI","PKP","BKL","LSE","PJT"},Database!$L$4:$L$1048576,"=2",Database!$F$4:$F$1048576,"Apotek")),IF($I$5="Rumah Sakit",SUM(SUMIFS(Database!$L$4:$L$1048576,Database!$B$4:$B$1048576,$I$3,Database!$D$4:$D$1048576,{"JK2","MDN","TGR","PKB","PLB","BDL","PMS","PDG","BTM","BAC","JBI","PKP","BKL","LSE","PJT"},Database!$L$4:$L$1048576,"=2",Database!$F$4:$F$1048576,"Rumah sakit")),IF($I$5="Subdis",SUM(SUMIFS(Database!$L$4:$L$1048576,Database!$B$4:$B$1048576,$I$3,Database!$D$4:$D$1048576,{"JK2","MDN","TGR","PKB","PLB","BDL","PMS","PDG","BTM","BAC","JBI","PKP","BKL","LSE","PJT"},Database!$L$4:$L$1048576,"=2",Database!$F$4:$F$1048576,"Subdis")),0)))),IF($I$4="Tengah",IF($I$5="All",SUM(SUMIFS(Database!$L$4:$L$1048576,Database!$B$4:$B$1048576,$I$3,Database!$D$4:$D$1048576,{"JK1","JK3","BDG","SMG","BGR","YOG","SLO","CRB","PWK","BKS","KDS","TGL","TSK","SKI","BD2"},Database!$L$4:$L$1048576,"=2")),IF($I$5="Apotek",SUM(SUMIFS(Database!$L$4:$L$1048576,Database!$B$4:$B$1048576,$I$3,Database!$D$4:$D$1048576,{"JK1","JK3","BDG","SMG","BGR","YOG","SLO","CRB","PWK","BKS","KDS","TGL","TSK","SKI","BD2"},Database!$L$4:$L$1048576,"=2",Database!$F$4:$F$1048576,"Apotek")),IF($I$5="Rumah Sakit",SUM(SUMIFS(Database!$L$4:$L$1048576,Database!$B$4:$B$1048576,$I$3,Database!$D$4:$D$1048576,{"JK1","JK3","BDG","SMG","BGR","YOG","SLO","CRB","PWK","BKS","KDS","TGL","TSK","SKI","BD2"},Database!$L$4:$L$1048576,"=2",Database!$F$4:$F$1048576,"Rumah sakit")),IF($I$5="Subdis",SUM(SUMIFS(Database!$L$4:$L$1048576,Database!$B$4:$B$1048576,$I$3,Database!$D$4:$D$1048576,{"JK1","JK3","BDG","SMG","BGR","YOG","SLO","CRB","PWK","BKS","KDS","TGL","TSK","SKI","BD2"},Database!$L$4:$L$1048576,"=2",Database!$F$4:$F$1048576,"Subdis")),0)))),IF($I$4="Timur",IF($I$5="All",SUM(SUMIFS(Database!$L$4:$L$1048576,Database!$B$4:$B$1048576,$I$3,Database!$D$4:$D$1048576,{"SB1","SB2","BMS","MKS","DPS","KDR","MLG","SMD","PTK","JBR","MNO","JPU","MTR","BPP","KPG","PLU"},Database!$L$4:$L$1048576,"=2")),IF($I$5="Apotek",SUM(SUMIFS(Database!$L$4:$L$1048576,Database!$B$4:$B$1048576,$I$3,Database!$D$4:$D$1048576,{"SB1","SB2","BMS","MKS","DPS","KDR","MLG","SMD","PTK","JBR","MNO","JPU","MTR","BPP","KPG","PLU"},Database!$L$4:$L$1048576,"=2",Database!$F$4:$F$1048576,"Apotek")),IF($I$5="Rumah Sakit",SUM(SUMIFS(Database!$L$4:$L$1048576,Database!$B$4:$B$1048576,$I$3,Database!$D$4:$D$1048576,{"SB1","SB2","BMS","MKS","DPS","KDR","MLG","SMD","PTK","JBR","MNO","JPU","MTR","BPP","KPG","PLU"},Database!$L$4:$L$1048576,"=2",Database!$F$4:$F$1048576,"Rumah sakit")),IF($I$5="Subdis",SUM(SUMIFS(Database!$L$4:$L$1048576,Database!$B$4:$B$1048576,$I$3,Database!$D$4:$D$1048576,{"SB1","SB2","BMS","MKS","DPS","KDR","MLG","SMD","PTK","JBR","MNO","JPU","MTR","BPP","KPG","PLU"},Database!$L$4:$L$1048576,"=2",Database!$F$4:$F$1048576,"Subdis")),0)))))))/$C$8</f>
        <v>0</v>
      </c>
      <c r="D14" s="23">
        <f>IF($I$4="Barat",IF($I$5="All",SUM(SUMIFS(Database!$L$4:$L$1048576,Database!$B$4:$B$1048576,$I$3,Database!$D$4:$D$1048576,{"JK2","MDN","TGR","PKB","PLB","BDL","PMS","PDG","BTM","BAC","JBI","PKP","BKL","LSE","PJT"},Database!$L$4:$L$1048576,"=3")),IF($I$5="Apotek",SUM(SUMIFS(Database!$L$4:$L$1048576,Database!$B$4:$B$1048576,$I$3,Database!$D$4:$D$1048576,{"JK2","MDN","TGR","PKB","PLB","BDL","PMS","PDG","BTM","BAC","JBI","PKP","BKL","LSE","PJT"},Database!$L$4:$L$1048576,"=3",Database!$F$4:$F$1048576,"Apotek")),IF($I$5="Rumah Sakit",SUM(SUMIFS(Database!$L$4:$L$1048576,Database!$B$4:$B$1048576,$I$3,Database!$D$4:$D$1048576,{"JK2","MDN","TGR","PKB","PLB","BDL","PMS","PDG","BTM","BAC","JBI","PKP","BKL","LSE","PJT"},Database!$L$4:$L$1048576,"=3",Database!$F$4:$F$1048576,"Rumah sakit")),IF($I$5="Subdis",SUM(SUMIFS(Database!$L$4:$L$1048576,Database!$B$4:$B$1048576,$I$3,Database!$D$4:$D$1048576,{"JK2","MDN","TGR","PKB","PLB","BDL","PMS","PDG","BTM","BAC","JBI","PKP","BKL","LSE","PJT"},Database!$L$4:$L$1048576,"=3",Database!$F$4:$F$1048576,"Subdis")),0)))),IF($I$4="Tengah",IF($I$5="All",SUM(SUMIFS(Database!$L$4:$L$1048576,Database!$B$4:$B$1048576,$I$3,Database!$D$4:$D$1048576,{"JK1","JK3","BDG","SMG","BGR","YOG","SLO","CRB","PWK","BKS","KDS","TGL","TSK","SKI","BD2"},Database!$L$4:$L$1048576,"=3")),IF($I$5="Apotek",SUM(SUMIFS(Database!$L$4:$L$1048576,Database!$B$4:$B$1048576,$I$3,Database!$D$4:$D$1048576,{"JK1","JK3","BDG","SMG","BGR","YOG","SLO","CRB","PWK","BKS","KDS","TGL","TSK","SKI","BD2"},Database!$L$4:$L$1048576,"=3",Database!$F$4:$F$1048576,"Apotek")),IF($I$5="Rumah Sakit",SUM(SUMIFS(Database!$L$4:$L$1048576,Database!$B$4:$B$1048576,$I$3,Database!$D$4:$D$1048576,{"JK1","JK3","BDG","SMG","BGR","YOG","SLO","CRB","PWK","BKS","KDS","TGL","TSK","SKI","BD2"},Database!$L$4:$L$1048576,"=3",Database!$F$4:$F$1048576,"Rumah sakit")),IF($I$5="Subdis",SUM(SUMIFS(Database!$L$4:$L$1048576,Database!$B$4:$B$1048576,$I$3,Database!$D$4:$D$1048576,{"JK1","JK3","BDG","SMG","BGR","YOG","SLO","CRB","PWK","BKS","KDS","TGL","TSK","SKI","BD2"},Database!$L$4:$L$1048576,"=3",Database!$F$4:$F$1048576,"Subdis")),0)))),IF($I$4="Timur",IF($I$5="All",SUM(SUMIFS(Database!$L$4:$L$1048576,Database!$B$4:$B$1048576,$I$3,Database!$D$4:$D$1048576,{"SB1","SB2","BMS","MKS","DPS","KDR","MLG","SMD","PTK","JBR","MNO","JPU","MTR","BPP","KPG","PLU"},Database!$L$4:$L$1048576,"=3")),IF($I$5="Apotek",SUM(SUMIFS(Database!$L$4:$L$1048576,Database!$B$4:$B$1048576,$I$3,Database!$D$4:$D$1048576,{"SB1","SB2","BMS","MKS","DPS","KDR","MLG","SMD","PTK","JBR","MNO","JPU","MTR","BPP","KPG","PLU"},Database!$L$4:$L$1048576,"=3",Database!$F$4:$F$1048576,"Apotek")),IF($I$5="Rumah Sakit",SUM(SUMIFS(Database!$L$4:$L$1048576,Database!$B$4:$B$1048576,$I$3,Database!$D$4:$D$1048576,{"SB1","SB2","BMS","MKS","DPS","KDR","MLG","SMD","PTK","JBR","MNO","JPU","MTR","BPP","KPG","PLU"},Database!$L$4:$L$1048576,"=3",Database!$F$4:$F$1048576,"Rumah sakit")),IF($I$5="Subdis",SUM(SUMIFS(Database!$L$4:$L$1048576,Database!$B$4:$B$1048576,$I$3,Database!$D$4:$D$1048576,{"SB1","SB2","BMS","MKS","DPS","KDR","MLG","SMD","PTK","JBR","MNO","JPU","MTR","BPP","KPG","PLU"},Database!$L$4:$L$1048576,"=3",Database!$F$4:$F$1048576,"Subdis")),0)))))))/$D$8</f>
        <v>0</v>
      </c>
      <c r="E14" s="23">
        <f>IF($I$4="Barat",IF($I$5="All",SUM(SUMIFS(Database!$L$4:$L$1048576,Database!$B$4:$B$1048576,$I$3,Database!$D$4:$D$1048576,{"JK2","MDN","TGR","PKB","PLB","BDL","PMS","PDG","BTM","BAC","JBI","PKP","BKL","LSE","PJT"},Database!$L$4:$L$1048576,"=4")),IF($I$5="Apotek",SUM(SUMIFS(Database!$L$4:$L$1048576,Database!$B$4:$B$1048576,$I$3,Database!$D$4:$D$1048576,{"JK2","MDN","TGR","PKB","PLB","BDL","PMS","PDG","BTM","BAC","JBI","PKP","BKL","LSE","PJT"},Database!$L$4:$L$1048576,"=4",Database!$F$4:$F$1048576,"Apotek")),IF($I$5="Rumah Sakit",SUM(SUMIFS(Database!$L$4:$L$1048576,Database!$B$4:$B$1048576,$I$3,Database!$D$4:$D$1048576,{"JK2","MDN","TGR","PKB","PLB","BDL","PMS","PDG","BTM","BAC","JBI","PKP","BKL","LSE","PJT"},Database!$L$4:$L$1048576,"=4",Database!$F$4:$F$1048576,"Rumah sakit")),IF($I$5="Subdis",SUM(SUMIFS(Database!$L$4:$L$1048576,Database!$B$4:$B$1048576,$I$3,Database!$D$4:$D$1048576,{"JK2","MDN","TGR","PKB","PLB","BDL","PMS","PDG","BTM","BAC","JBI","PKP","BKL","LSE","PJT"},Database!$L$4:$L$1048576,"=4",Database!$F$4:$F$1048576,"Subdis")),0)))),IF($I$4="Tengah",IF($I$5="All",SUM(SUMIFS(Database!$L$4:$L$1048576,Database!$B$4:$B$1048576,$I$3,Database!$D$4:$D$1048576,{"JK1","JK3","BDG","SMG","BGR","YOG","SLO","CRB","PWK","BKS","KDS","TGL","TSK","SKI","BD2"},Database!$L$4:$L$1048576,"=4")),IF($I$5="Apotek",SUM(SUMIFS(Database!$L$4:$L$1048576,Database!$B$4:$B$1048576,$I$3,Database!$D$4:$D$1048576,{"JK1","JK3","BDG","SMG","BGR","YOG","SLO","CRB","PWK","BKS","KDS","TGL","TSK","SKI","BD2"},Database!$L$4:$L$1048576,"=4",Database!$F$4:$F$1048576,"Apotek")),IF($I$5="Rumah Sakit",SUM(SUMIFS(Database!$L$4:$L$1048576,Database!$B$4:$B$1048576,$I$3,Database!$D$4:$D$1048576,{"JK1","JK3","BDG","SMG","BGR","YOG","SLO","CRB","PWK","BKS","KDS","TGL","TSK","SKI","BD2"},Database!$L$4:$L$1048576,"=4",Database!$F$4:$F$1048576,"Rumah sakit")),IF($I$5="Subdis",SUM(SUMIFS(Database!$L$4:$L$1048576,Database!$B$4:$B$1048576,$I$3,Database!$D$4:$D$1048576,{"JK1","JK3","BDG","SMG","BGR","YOG","SLO","CRB","PWK","BKS","KDS","TGL","TSK","SKI","BD2"},Database!$L$4:$L$1048576,"=4",Database!$F$4:$F$1048576,"Subdis")),0)))),IF($I$4="Timur",IF($I$5="All",SUM(SUMIFS(Database!$L$4:$L$1048576,Database!$B$4:$B$1048576,$I$3,Database!$D$4:$D$1048576,{"SB1","SB2","BMS","MKS","DPS","KDR","MLG","SMD","PTK","JBR","MNO","JPU","MTR","BPP","KPG","PLU"},Database!$L$4:$L$1048576,"=4")),IF($I$5="Apotek",SUM(SUMIFS(Database!$L$4:$L$1048576,Database!$B$4:$B$1048576,$I$3,Database!$D$4:$D$1048576,{"SB1","SB2","BMS","MKS","DPS","KDR","MLG","SMD","PTK","JBR","MNO","JPU","MTR","BPP","KPG","PLU"},Database!$L$4:$L$1048576,"=4",Database!$F$4:$F$1048576,"Apotek")),IF($I$5="Rumah Sakit",SUM(SUMIFS(Database!$L$4:$L$1048576,Database!$B$4:$B$1048576,$I$3,Database!$D$4:$D$1048576,{"SB1","SB2","BMS","MKS","DPS","KDR","MLG","SMD","PTK","JBR","MNO","JPU","MTR","BPP","KPG","PLU"},Database!$L$4:$L$1048576,"=4",Database!$F$4:$F$1048576,"Rumah sakit")),IF($I$5="Subdis",SUM(SUMIFS(Database!$L$4:$L$1048576,Database!$B$4:$B$1048576,$I$3,Database!$D$4:$D$1048576,{"SB1","SB2","BMS","MKS","DPS","KDR","MLG","SMD","PTK","JBR","MNO","JPU","MTR","BPP","KPG","PLU"},Database!$L$4:$L$1048576,"=4",Database!$F$4:$F$1048576,"Subdis")),0)))))))/$E$8</f>
        <v>0</v>
      </c>
      <c r="F14" s="9">
        <f t="shared" si="0"/>
        <v>0</v>
      </c>
      <c r="G14" s="10" t="e">
        <f t="shared" si="10"/>
        <v>#DIV/0!</v>
      </c>
      <c r="H14" s="23">
        <f>IF($I$4="Barat",IF($I$5="All",SUM(SUMIFS(Database!$AM$4:$AM$1048576,Database!$AC$4:$AC$1048576,$I$3,Database!$AE$4:$AE$1048576,{"JK2","MDN","TGR","PKB","PLB","BDL","PMS","PDG","BTM","BAC","JBI","PKP","BKL","LSE","PJT"},Database!$AM$4:$AM$1048576,"=1")),IF($I$5="Apotek",SUM(SUMIFS(Database!$AM$4:$AM$1048576,Database!$AC$4:$AC$1048576,$I$3,Database!$AE$4:$AE$1048576,{"JK2","MDN","TGR","PKB","PLB","BDL","PMS","PDG","BTM","BAC","JBI","PKP","BKL","LSE","PJT"},Database!$AM$4:$AM$1048576,"=1",Database!$AG$4:$AG$1048576,"Apotek")),IF($I$5="Rumah Sakit",SUM(SUMIFS(Database!$AM$4:$AM$1048576,Database!$AC$4:$AC$1048576,$I$3,Database!$AE$4:$AE$1048576,{"JK2","MDN","TGR","PKB","PLB","BDL","PMS","PDG","BTM","BAC","JBI","PKP","BKL","LSE","PJT"},Database!$AM$4:$AM$1048576,"=1",Database!$AG$4:$AG$1048576,"Rumah sakit")),IF($I$5="Subdis",SUM(SUMIFS(Database!$AM$4:$AM$1048576,Database!$AC$4:$AC$1048576,$I$3,Database!$AE$4:$AE$1048576,{"JK2","MDN","TGR","PKB","PLB","BDL","PMS","PDG","BTM","BAC","JBI","PKP","BKL","LSE","PJT"},Database!$AM$4:$AM$1048576,"=1",Database!$AG$4:$AG$1048576,"Subdis")),0)))),IF($I$4="Tengah",IF($I$5="All",SUM(SUMIFS(Database!$AM$4:$AM$1048576,Database!$AC$4:$AC$1048576,$I$3,Database!$AE$4:$AE$1048576,{"JK1","JK3","BDG","SMG","BGR","YOG","SLO","CRB","PWK","BKS","KDS","TGL","TSK","SKI","BD2"},Database!$AM$4:$AM$1048576,"=1")),IF($I$5="Apotek",SUM(SUMIFS(Database!$AM$4:$AM$1048576,Database!$AC$4:$AC$1048576,$I$3,Database!$AE$4:$AE$1048576,{"JK1","JK3","BDG","SMG","BGR","YOG","SLO","CRB","PWK","BKS","KDS","TGL","TSK","SKI","BD2"},Database!$AM$4:$AM$1048576,"=1",Database!$AG$4:$AG$1048576,"Apotek")),IF($I$5="Rumah Sakit",SUM(SUMIFS(Database!$AM$4:$AM$1048576,Database!$AC$4:$AC$1048576,$I$3,Database!$AE$4:$AE$1048576,{"JK1","JK3","BDG","SMG","BGR","YOG","SLO","CRB","PWK","BKS","KDS","TGL","TSK","SKI","BD2"},Database!$AM$4:$AM$1048576,"=1",Database!$AG$4:$AG$1048576,"Rumah sakit")),IF($I$5="Subdis",SUM(SUMIFS(Database!$AM$4:$AM$1048576,Database!$AC$4:$AC$1048576,$I$3,Database!$AE$4:$AE$1048576,{"JK1","JK3","BDG","SMG","BGR","YOG","SLO","CRB","PWK","BKS","KDS","TGL","TSK","SKI","BD2"},Database!$AM$4:$AM$1048576,"=1",Database!$AG$4:$AG$1048576,"Subdis")),0)))),IF($I$4="Timur",IF($I$5="All",SUM(SUMIFS(Database!$AM$4:$AM$1048576,Database!$AC$4:$AC$1048576,$I$3,Database!$AE$4:$AE$1048576,{"SB1","SB2","BMS","MKS","DPS","KDR","MLG","SMD","PTK","JBR","MNO","JPU","MTR","BPP","KPG","PLU"},Database!$AM$4:$AM$1048576,"=1")),IF($I$5="Apotek",SUM(SUMIFS(Database!$AM$4:$AM$1048576,Database!$AC$4:$AC$1048576,$I$3,Database!$AE$4:$AE$1048576,{"SB1","SB2","BMS","MKS","DPS","KDR","MLG","SMD","PTK","JBR","MNO","JPU","MTR","BPP","KPG","PLU"},Database!$AM$4:$AM$1048576,"=1",Database!$AG$4:$AG$1048576,"Apotek")),IF($I$5="Rumah Sakit",SUM(SUMIFS(Database!$AM$4:$AM$1048576,Database!$AC$4:$AC$1048576,$I$3,Database!$AE$4:$AE$1048576,{"SB1","SB2","BMS","MKS","DPS","KDR","MLG","SMD","PTK","JBR","MNO","JPU","MTR","BPP","KPG","PLU"},Database!$AM$4:$AM$1048576,"=1",Database!$AG$4:$AG$1048576,"Rumah sakit")),IF($I$5="Subdis",SUM(SUMIFS(Database!$AM$4:$AM$1048576,Database!$AC$4:$AC$1048576,$I$3,Database!$AE$4:$AE$1048576,{"SB1","SB2","BMS","MKS","DPS","KDR","MLG","SMD","PTK","JBR","MNO","JPU","MTR","BPP","KPG","PLU"},Database!$AM$4:$AM$1048576,"=1",Database!$AG$4:$AG$1048576,"Subdis")),0)))))))/$B$8</f>
        <v>0</v>
      </c>
      <c r="I14" s="23">
        <f>IF($I$4="Barat",IF($I$5="All",SUM(SUMIFS(Database!$AM$4:$AM$1048576,Database!$AC$4:$AC$1048576,$I$3,Database!$AE$4:$AE$1048576,{"JK2","MDN","TGR","PKB","PLB","BDL","PMS","PDG","BTM","BAC","JBI","PKP","BKL","LSE","PJT"},Database!$AM$4:$AM$1048576,"=2")),IF($I$5="Apotek",SUM(SUMIFS(Database!$AM$4:$AM$1048576,Database!$AC$4:$AC$1048576,$I$3,Database!$AE$4:$AE$1048576,{"JK2","MDN","TGR","PKB","PLB","BDL","PMS","PDG","BTM","BAC","JBI","PKP","BKL","LSE","PJT"},Database!$AM$4:$AM$1048576,"=2",Database!$AG$4:$AG$1048576,"Apotek")),IF($I$5="Rumah Sakit",SUM(SUMIFS(Database!$AM$4:$AM$1048576,Database!$AC$4:$AC$1048576,$I$3,Database!$AE$4:$AE$1048576,{"JK2","MDN","TGR","PKB","PLB","BDL","PMS","PDG","BTM","BAC","JBI","PKP","BKL","LSE","PJT"},Database!$AM$4:$AM$1048576,"=2",Database!$AG$4:$AG$1048576,"Rumah sakit")),IF($I$5="Subdis",SUM(SUMIFS(Database!$AM$4:$AM$1048576,Database!$AC$4:$AC$1048576,$I$3,Database!$AE$4:$AE$1048576,{"JK2","MDN","TGR","PKB","PLB","BDL","PMS","PDG","BTM","BAC","JBI","PKP","BKL","LSE","PJT"},Database!$AM$4:$AM$1048576,"=2",Database!$AG$4:$AG$1048576,"Subdis")),0)))),IF($I$4="Tengah",IF($I$5="All",SUM(SUMIFS(Database!$AM$4:$AM$1048576,Database!$AC$4:$AC$1048576,$I$3,Database!$AE$4:$AE$1048576,{"JK1","JK3","BDG","SMG","BGR","YOG","SLO","CRB","PWK","BKS","KDS","TGL","TSK","SKI","BD2"},Database!$AM$4:$AM$1048576,"=2")),IF($I$5="Apotek",SUM(SUMIFS(Database!$AM$4:$AM$1048576,Database!$AC$4:$AC$1048576,$I$3,Database!$AE$4:$AE$1048576,{"JK1","JK3","BDG","SMG","BGR","YOG","SLO","CRB","PWK","BKS","KDS","TGL","TSK","SKI","BD2"},Database!$AM$4:$AM$1048576,"=2",Database!$AG$4:$AG$1048576,"Apotek")),IF($I$5="Rumah Sakit",SUM(SUMIFS(Database!$AM$4:$AM$1048576,Database!$AC$4:$AC$1048576,$I$3,Database!$AE$4:$AE$1048576,{"JK1","JK3","BDG","SMG","BGR","YOG","SLO","CRB","PWK","BKS","KDS","TGL","TSK","SKI","BD2"},Database!$AM$4:$AM$1048576,"=2",Database!$AG$4:$AG$1048576,"Rumah sakit")),IF($I$5="Subdis",SUM(SUMIFS(Database!$AM$4:$AM$1048576,Database!$AC$4:$AC$1048576,$I$3,Database!$AE$4:$AE$1048576,{"JK1","JK3","BDG","SMG","BGR","YOG","SLO","CRB","PWK","BKS","KDS","TGL","TSK","SKI","BD2"},Database!$AM$4:$AM$1048576,"=2",Database!$AG$4:$AG$1048576,"Subdis")),0)))),IF($I$4="Timur",IF($I$5="All",SUM(SUMIFS(Database!$AM$4:$AM$1048576,Database!$AC$4:$AC$1048576,$I$3,Database!$AE$4:$AE$1048576,{"SB1","SB2","BMS","MKS","DPS","KDR","MLG","SMD","PTK","JBR","MNO","JPU","MTR","BPP","KPG","PLU"},Database!$AM$4:$AM$1048576,"=2")),IF($I$5="Apotek",SUM(SUMIFS(Database!$AM$4:$AM$1048576,Database!$AC$4:$AC$1048576,$I$3,Database!$AE$4:$AE$1048576,{"SB1","SB2","BMS","MKS","DPS","KDR","MLG","SMD","PTK","JBR","MNO","JPU","MTR","BPP","KPG","PLU"},Database!$AM$4:$AM$1048576,"=2",Database!$AG$4:$AG$1048576,"Apotek")),IF($I$5="Rumah Sakit",SUM(SUMIFS(Database!$AM$4:$AM$1048576,Database!$AC$4:$AC$1048576,$I$3,Database!$AE$4:$AE$1048576,{"SB1","SB2","BMS","MKS","DPS","KDR","MLG","SMD","PTK","JBR","MNO","JPU","MTR","BPP","KPG","PLU"},Database!$AM$4:$AM$1048576,"=2",Database!$AG$4:$AG$1048576,"Rumah sakit")),IF($I$5="Subdis",SUM(SUMIFS(Database!$AM$4:$AM$1048576,Database!$AC$4:$AC$1048576,$I$3,Database!$AE$4:$AE$1048576,{"SB1","SB2","BMS","MKS","DPS","KDR","MLG","SMD","PTK","JBR","MNO","JPU","MTR","BPP","KPG","PLU"},Database!$AM$4:$AM$1048576,"=2",Database!$AG$4:$AG$1048576,"Subdis")),0)))))))/$C$8</f>
        <v>0</v>
      </c>
      <c r="J14" s="23">
        <f>IF($I$4="Barat",IF($I$5="All",SUM(SUMIFS(Database!$AM$4:$AM$1048576,Database!$AC$4:$AC$1048576,$I$3,Database!$AE$4:$AE$1048576,{"JK2","MDN","TGR","PKB","PLB","BDL","PMS","PDG","BTM","BAC","JBI","PKP","BKL","LSE","PJT"},Database!$AM$4:$AM$1048576,"=3")),IF($I$5="Apotek",SUM(SUMIFS(Database!$AM$4:$AM$1048576,Database!$AC$4:$AC$1048576,$I$3,Database!$AE$4:$AE$1048576,{"JK2","MDN","TGR","PKB","PLB","BDL","PMS","PDG","BTM","BAC","JBI","PKP","BKL","LSE","PJT"},Database!$AM$4:$AM$1048576,"=3",Database!$AG$4:$AG$1048576,"Apotek")),IF($I$5="Rumah Sakit",SUM(SUMIFS(Database!$AM$4:$AM$1048576,Database!$AC$4:$AC$1048576,$I$3,Database!$AE$4:$AE$1048576,{"JK2","MDN","TGR","PKB","PLB","BDL","PMS","PDG","BTM","BAC","JBI","PKP","BKL","LSE","PJT"},Database!$AM$4:$AM$1048576,"=3",Database!$AG$4:$AG$1048576,"Rumah sakit")),IF($I$5="Subdis",SUM(SUMIFS(Database!$AM$4:$AM$1048576,Database!$AC$4:$AC$1048576,$I$3,Database!$AE$4:$AE$1048576,{"JK2","MDN","TGR","PKB","PLB","BDL","PMS","PDG","BTM","BAC","JBI","PKP","BKL","LSE","PJT"},Database!$AM$4:$AM$1048576,"=3",Database!$AG$4:$AG$1048576,"Subdis")),0)))),IF($I$4="Tengah",IF($I$5="All",SUM(SUMIFS(Database!$AM$4:$AM$1048576,Database!$AC$4:$AC$1048576,$I$3,Database!$AE$4:$AE$1048576,{"JK1","JK3","BDG","SMG","BGR","YOG","SLO","CRB","PWK","BKS","KDS","TGL","TSK","SKI","BD2"},Database!$AM$4:$AM$1048576,"=3")),IF($I$5="Apotek",SUM(SUMIFS(Database!$AM$4:$AM$1048576,Database!$AC$4:$AC$1048576,$I$3,Database!$AE$4:$AE$1048576,{"JK1","JK3","BDG","SMG","BGR","YOG","SLO","CRB","PWK","BKS","KDS","TGL","TSK","SKI","BD2"},Database!$AM$4:$AM$1048576,"=3",Database!$AG$4:$AG$1048576,"Apotek")),IF($I$5="Rumah Sakit",SUM(SUMIFS(Database!$AM$4:$AM$1048576,Database!$AC$4:$AC$1048576,$I$3,Database!$AE$4:$AE$1048576,{"JK1","JK3","BDG","SMG","BGR","YOG","SLO","CRB","PWK","BKS","KDS","TGL","TSK","SKI","BD2"},Database!$AM$4:$AM$1048576,"=3",Database!$AG$4:$AG$1048576,"Rumah sakit")),IF($I$5="Subdis",SUM(SUMIFS(Database!$AM$4:$AM$1048576,Database!$AC$4:$AC$1048576,$I$3,Database!$AE$4:$AE$1048576,{"JK1","JK3","BDG","SMG","BGR","YOG","SLO","CRB","PWK","BKS","KDS","TGL","TSK","SKI","BD2"},Database!$AM$4:$AM$1048576,"=3",Database!$AG$4:$AG$1048576,"Subdis")),0)))),IF($I$4="Timur",IF($I$5="All",SUM(SUMIFS(Database!$AM$4:$AM$1048576,Database!$AC$4:$AC$1048576,$I$3,Database!$AE$4:$AE$1048576,{"SB1","SB2","BMS","MKS","DPS","KDR","MLG","SMD","PTK","JBR","MNO","JPU","MTR","BPP","KPG","PLU"},Database!$AM$4:$AM$1048576,"=3")),IF($I$5="Apotek",SUM(SUMIFS(Database!$AM$4:$AM$1048576,Database!$AC$4:$AC$1048576,$I$3,Database!$AE$4:$AE$1048576,{"SB1","SB2","BMS","MKS","DPS","KDR","MLG","SMD","PTK","JBR","MNO","JPU","MTR","BPP","KPG","PLU"},Database!$AM$4:$AM$1048576,"=3",Database!$AG$4:$AG$1048576,"Apotek")),IF($I$5="Rumah Sakit",SUM(SUMIFS(Database!$AM$4:$AM$1048576,Database!$AC$4:$AC$1048576,$I$3,Database!$AE$4:$AE$1048576,{"SB1","SB2","BMS","MKS","DPS","KDR","MLG","SMD","PTK","JBR","MNO","JPU","MTR","BPP","KPG","PLU"},Database!$AM$4:$AM$1048576,"=3",Database!$AG$4:$AG$1048576,"Rumah sakit")),IF($I$5="Subdis",SUM(SUMIFS(Database!$AM$4:$AM$1048576,Database!$AC$4:$AC$1048576,$I$3,Database!$AE$4:$AE$1048576,{"SB1","SB2","BMS","MKS","DPS","KDR","MLG","SMD","PTK","JBR","MNO","JPU","MTR","BPP","KPG","PLU"},Database!$AM$4:$AM$1048576,"=3",Database!$AG$4:$AG$1048576,"Subdis")),0)))))))/$D$8</f>
        <v>0</v>
      </c>
      <c r="K14" s="23">
        <f>IF($I$4="Barat",IF($I$5="All",SUM(SUMIFS(Database!$AM$4:$AM$1048576,Database!$AC$4:$AC$1048576,$I$3,Database!$AE$4:$AE$1048576,{"JK2","MDN","TGR","PKB","PLB","BDL","PMS","PDG","BTM","BAC","JBI","PKP","BKL","LSE","PJT"},Database!$AM$4:$AM$1048576,"=4")),IF($I$5="Apotek",SUM(SUMIFS(Database!$AM$4:$AM$1048576,Database!$AC$4:$AC$1048576,$I$3,Database!$AE$4:$AE$1048576,{"JK2","MDN","TGR","PKB","PLB","BDL","PMS","PDG","BTM","BAC","JBI","PKP","BKL","LSE","PJT"},Database!$AM$4:$AM$1048576,"=4",Database!$AG$4:$AG$1048576,"Apotek")),IF($I$5="Rumah Sakit",SUM(SUMIFS(Database!$AM$4:$AM$1048576,Database!$AC$4:$AC$1048576,$I$3,Database!$AE$4:$AE$1048576,{"JK2","MDN","TGR","PKB","PLB","BDL","PMS","PDG","BTM","BAC","JBI","PKP","BKL","LSE","PJT"},Database!$AM$4:$AM$1048576,"=4",Database!$AG$4:$AG$1048576,"Rumah sakit")),IF($I$5="Subdis",SUM(SUMIFS(Database!$AM$4:$AM$1048576,Database!$AC$4:$AC$1048576,$I$3,Database!$AE$4:$AE$1048576,{"JK2","MDN","TGR","PKB","PLB","BDL","PMS","PDG","BTM","BAC","JBI","PKP","BKL","LSE","PJT"},Database!$AM$4:$AM$1048576,"=4",Database!$AG$4:$AG$1048576,"Subdis")),0)))),IF($I$4="Tengah",IF($I$5="All",SUM(SUMIFS(Database!$AM$4:$AM$1048576,Database!$AC$4:$AC$1048576,$I$3,Database!$AE$4:$AE$1048576,{"JK1","JK3","BDG","SMG","BGR","YOG","SLO","CRB","PWK","BKS","KDS","TGL","TSK","SKI","BD2"},Database!$AM$4:$AM$1048576,"=4")),IF($I$5="Apotek",SUM(SUMIFS(Database!$AM$4:$AM$1048576,Database!$AC$4:$AC$1048576,$I$3,Database!$AE$4:$AE$1048576,{"JK1","JK3","BDG","SMG","BGR","YOG","SLO","CRB","PWK","BKS","KDS","TGL","TSK","SKI","BD2"},Database!$AM$4:$AM$1048576,"=4",Database!$AG$4:$AG$1048576,"Apotek")),IF($I$5="Rumah Sakit",SUM(SUMIFS(Database!$AM$4:$AM$1048576,Database!$AC$4:$AC$1048576,$I$3,Database!$AE$4:$AE$1048576,{"JK1","JK3","BDG","SMG","BGR","YOG","SLO","CRB","PWK","BKS","KDS","TGL","TSK","SKI","BD2"},Database!$AM$4:$AM$1048576,"=4",Database!$AG$4:$AG$1048576,"Rumah sakit")),IF($I$5="Subdis",SUM(SUMIFS(Database!$AM$4:$AM$1048576,Database!$AC$4:$AC$1048576,$I$3,Database!$AE$4:$AE$1048576,{"JK1","JK3","BDG","SMG","BGR","YOG","SLO","CRB","PWK","BKS","KDS","TGL","TSK","SKI","BD2"},Database!$AM$4:$AM$1048576,"=4",Database!$AG$4:$AG$1048576,"Subdis")),0)))),IF($I$4="Timur",IF($I$5="All",SUM(SUMIFS(Database!$AM$4:$AM$1048576,Database!$AC$4:$AC$1048576,$I$3,Database!$AE$4:$AE$1048576,{"SB1","SB2","BMS","MKS","DPS","KDR","MLG","SMD","PTK","JBR","MNO","JPU","MTR","BPP","KPG","PLU"},Database!$AM$4:$AM$1048576,"=4")),IF($I$5="Apotek",SUM(SUMIFS(Database!$AM$4:$AM$1048576,Database!$AC$4:$AC$1048576,$I$3,Database!$AE$4:$AE$1048576,{"SB1","SB2","BMS","MKS","DPS","KDR","MLG","SMD","PTK","JBR","MNO","JPU","MTR","BPP","KPG","PLU"},Database!$AM$4:$AM$1048576,"=4",Database!$AG$4:$AG$1048576,"Apotek")),IF($I$5="Rumah Sakit",SUM(SUMIFS(Database!$AM$4:$AM$1048576,Database!$AC$4:$AC$1048576,$I$3,Database!$AE$4:$AE$1048576,{"SB1","SB2","BMS","MKS","DPS","KDR","MLG","SMD","PTK","JBR","MNO","JPU","MTR","BPP","KPG","PLU"},Database!$AM$4:$AM$1048576,"=4",Database!$AG$4:$AG$1048576,"Rumah sakit")),IF($I$5="Subdis",SUM(SUMIFS(Database!$AM$4:$AM$1048576,Database!$AC$4:$AC$1048576,$I$3,Database!$AE$4:$AE$1048576,{"SB1","SB2","BMS","MKS","DPS","KDR","MLG","SMD","PTK","JBR","MNO","JPU","MTR","BPP","KPG","PLU"},Database!$AM$4:$AM$1048576,"=4",Database!$AG$4:$AG$1048576,"Subdis")),0)))))))/$E$8</f>
        <v>0</v>
      </c>
      <c r="L14" s="9">
        <f t="shared" si="1"/>
        <v>0</v>
      </c>
      <c r="M14" s="10" t="e">
        <f t="shared" si="2"/>
        <v>#DIV/0!</v>
      </c>
      <c r="N14" s="10" t="e">
        <f t="shared" si="3"/>
        <v>#DIV/0!</v>
      </c>
      <c r="O14" s="32" t="e">
        <f t="shared" si="4"/>
        <v>#DIV/0!</v>
      </c>
      <c r="P14" s="34" t="s">
        <v>54</v>
      </c>
      <c r="Q14" s="32" t="e">
        <f>RANK(N14,$N$13:$N$14,0)</f>
        <v>#DIV/0!</v>
      </c>
      <c r="R14" s="81" t="e">
        <f t="shared" si="6"/>
        <v>#DIV/0!</v>
      </c>
      <c r="S14" s="81" t="e">
        <f t="shared" si="7"/>
        <v>#DIV/0!</v>
      </c>
      <c r="T14" s="81" t="e">
        <f>RANK(G14,$G$13:$G$14)</f>
        <v>#DIV/0!</v>
      </c>
      <c r="U14" s="81" t="e">
        <f t="shared" ref="U14" si="11">RANK(M14,$M$13:$M$14)</f>
        <v>#DIV/0!</v>
      </c>
      <c r="V14" s="256"/>
    </row>
    <row r="15" spans="1:22" ht="18" x14ac:dyDescent="0.35">
      <c r="A15" s="9" t="s">
        <v>20</v>
      </c>
      <c r="B15" s="23">
        <f>IF($I$4="Barat",IF($I$5="All",SUM(SUMIFS(Database!$M$4:$M$1048576,Database!$B$4:$B$1048576,$I$3,Database!$D$4:$D$1048576,{"JK2","MDN","TGR","PKB","PLB","BDL","PMS","PDG","BTM","BAC","JBI","PKP","BKL","LSE","PJT"},Database!$M$4:$M$1048576,"=1")),IF($I$5="Apotek",SUM(SUMIFS(Database!$M$4:$M$1048576,Database!$B$4:$B$1048576,$I$3,Database!$D$4:$D$1048576,{"JK2","MDN","TGR","PKB","PLB","BDL","PMS","PDG","BTM","BAC","JBI","PKP","BKL","LSE","PJT"},Database!$M$4:$M$1048576,"=1",Database!$F$4:$F$1048576,"Apotek")),IF($I$5="Rumah Sakit",SUM(SUMIFS(Database!$M$4:$M$1048576,Database!$B$4:$B$1048576,$I$3,Database!$D$4:$D$1048576,{"JK2","MDN","TGR","PKB","PLB","BDL","PMS","PDG","BTM","BAC","JBI","PKP","BKL","LSE","PJT"},Database!$M$4:$M$1048576,"=1",Database!$F$4:$F$1048576,"Rumah sakit")),IF($I$5="Subdis",SUM(SUMIFS(Database!$M$4:$M$1048576,Database!$B$4:$B$1048576,$I$3,Database!$D$4:$D$1048576,{"JK2","MDN","TGR","PKB","PLB","BDL","PMS","PDG","BTM","BAC","JBI","PKP","BKL","LSE","PJT"},Database!$M$4:$M$1048576,"=1",Database!$F$4:$F$1048576,"Subdis")),0)))),IF($I$4="Tengah",IF($I$5="All",SUM(SUMIFS(Database!$M$4:$M$1048576,Database!$B$4:$B$1048576,$I$3,Database!$D$4:$D$1048576,{"JK1","JK3","BDG","SMG","BGR","YOG","SLO","CRB","PWK","BKS","KDS","TGL","TSK","SKI","BD2"},Database!$M$4:$M$1048576,"=1")),IF($I$5="Apotek",SUM(SUMIFS(Database!$M$4:$M$1048576,Database!$B$4:$B$1048576,$I$3,Database!$D$4:$D$1048576,{"JK1","JK3","BDG","SMG","BGR","YOG","SLO","CRB","PWK","BKS","KDS","TGL","TSK","SKI","BD2"},Database!$M$4:$M$1048576,"=1",Database!$F$4:$F$1048576,"Apotek")),IF($I$5="Rumah Sakit",SUM(SUMIFS(Database!$M$4:$M$1048576,Database!$B$4:$B$1048576,$I$3,Database!$D$4:$D$1048576,{"JK1","JK3","BDG","SMG","BGR","YOG","SLO","CRB","PWK","BKS","KDS","TGL","TSK","SKI","BD2"},Database!$M$4:$M$1048576,"=1",Database!$F$4:$F$1048576,"Rumah sakit")),IF($I$5="Subdis",SUM(SUMIFS(Database!$M$4:$M$1048576,Database!$B$4:$B$1048576,$I$3,Database!$D$4:$D$1048576,{"JK1","JK3","BDG","SMG","BGR","YOG","SLO","CRB","PWK","BKS","KDS","TGL","TSK","SKI","BD2"},Database!$M$4:$M$1048576,"=1",Database!$F$4:$F$1048576,"Subdis")),0)))),IF($I$4="Timur",IF($I$5="All",SUM(SUMIFS(Database!$M$4:$M$1048576,Database!$B$4:$B$1048576,$I$3,Database!$D$4:$D$1048576,{"SB1","SB2","BMS","MKS","DPS","KDR","MLG","SMD","PTK","JBR","MNO","JPU","MTR","BPP","KPG","PLU"},Database!$M$4:$M$1048576,"=1")),IF($I$5="Apotek",SUM(SUMIFS(Database!$M$4:$M$1048576,Database!$B$4:$B$1048576,$I$3,Database!$D$4:$D$1048576,{"SB1","SB2","BMS","MKS","DPS","KDR","MLG","SMD","PTK","JBR","MNO","JPU","MTR","BPP","KPG","PLU"},Database!$M$4:$M$1048576,"=1",Database!$F$4:$F$1048576,"Apotek")),IF($I$5="Rumah Sakit",SUM(SUMIFS(Database!$M$4:$M$1048576,Database!$B$4:$B$1048576,$I$3,Database!$D$4:$D$1048576,{"SB1","SB2","BMS","MKS","DPS","KDR","MLG","SMD","PTK","JBR","MNO","JPU","MTR","BPP","KPG","PLU"},Database!$M$4:$M$1048576,"=1",Database!$F$4:$F$1048576,"Rumah sakit")),IF($I$5="Subdis",SUM(SUMIFS(Database!$M$4:$M$1048576,Database!$B$4:$B$1048576,$I$3,Database!$D$4:$D$1048576,{"SB1","SB2","BMS","MKS","DPS","KDR","MLG","SMD","PTK","JBR","MNO","JPU","MTR","BPP","KPG","PLU"},Database!$M$4:$M$1048576,"=1",Database!$F$4:$F$1048576,"Subdis")),0)))))))/$B$8</f>
        <v>0</v>
      </c>
      <c r="C15" s="23">
        <f>IF($I$4="Barat",IF($I$5="All",SUM(SUMIFS(Database!$M$4:$M$1048576,Database!$B$4:$B$1048576,$I$3,Database!$D$4:$D$1048576,{"JK2","MDN","TGR","PKB","PLB","BDL","PMS","PDG","BTM","BAC","JBI","PKP","BKL","LSE","PJT"},Database!$M$4:$M$1048576,"=2")),IF($I$5="Apotek",SUM(SUMIFS(Database!$M$4:$M$1048576,Database!$B$4:$B$1048576,$I$3,Database!$D$4:$D$1048576,{"JK2","MDN","TGR","PKB","PLB","BDL","PMS","PDG","BTM","BAC","JBI","PKP","BKL","LSE","PJT"},Database!$M$4:$M$1048576,"=2",Database!$F$4:$F$1048576,"Apotek")),IF($I$5="Rumah Sakit",SUM(SUMIFS(Database!$M$4:$M$1048576,Database!$B$4:$B$1048576,$I$3,Database!$D$4:$D$1048576,{"JK2","MDN","TGR","PKB","PLB","BDL","PMS","PDG","BTM","BAC","JBI","PKP","BKL","LSE","PJT"},Database!$M$4:$M$1048576,"=2",Database!$F$4:$F$1048576,"Rumah sakit")),IF($I$5="Subdis",SUM(SUMIFS(Database!$M$4:$M$1048576,Database!$B$4:$B$1048576,$I$3,Database!$D$4:$D$1048576,{"JK2","MDN","TGR","PKB","PLB","BDL","PMS","PDG","BTM","BAC","JBI","PKP","BKL","LSE","PJT"},Database!$M$4:$M$1048576,"=2",Database!$F$4:$F$1048576,"Subdis")),0)))),IF($I$4="Tengah",IF($I$5="All",SUM(SUMIFS(Database!$M$4:$M$1048576,Database!$B$4:$B$1048576,$I$3,Database!$D$4:$D$1048576,{"JK1","JK3","BDG","SMG","BGR","YOG","SLO","CRB","PWK","BKS","KDS","TGL","TSK","SKI","BD2"},Database!$M$4:$M$1048576,"=2")),IF($I$5="Apotek",SUM(SUMIFS(Database!$M$4:$M$1048576,Database!$B$4:$B$1048576,$I$3,Database!$D$4:$D$1048576,{"JK1","JK3","BDG","SMG","BGR","YOG","SLO","CRB","PWK","BKS","KDS","TGL","TSK","SKI","BD2"},Database!$M$4:$M$1048576,"=2",Database!$F$4:$F$1048576,"Apotek")),IF($I$5="Rumah Sakit",SUM(SUMIFS(Database!$M$4:$M$1048576,Database!$B$4:$B$1048576,$I$3,Database!$D$4:$D$1048576,{"JK1","JK3","BDG","SMG","BGR","YOG","SLO","CRB","PWK","BKS","KDS","TGL","TSK","SKI","BD2"},Database!$M$4:$M$1048576,"=2",Database!$F$4:$F$1048576,"Rumah sakit")),IF($I$5="Subdis",SUM(SUMIFS(Database!$M$4:$M$1048576,Database!$B$4:$B$1048576,$I$3,Database!$D$4:$D$1048576,{"JK1","JK3","BDG","SMG","BGR","YOG","SLO","CRB","PWK","BKS","KDS","TGL","TSK","SKI","BD2"},Database!$M$4:$M$1048576,"=2",Database!$F$4:$F$1048576,"Subdis")),0)))),IF($I$4="Timur",IF($I$5="All",SUM(SUMIFS(Database!$M$4:$M$1048576,Database!$B$4:$B$1048576,$I$3,Database!$D$4:$D$1048576,{"SB1","SB2","BMS","MKS","DPS","KDR","MLG","SMD","PTK","JBR","MNO","JPU","MTR","BPP","KPG","PLU"},Database!$M$4:$M$1048576,"=2")),IF($I$5="Apotek",SUM(SUMIFS(Database!$M$4:$M$1048576,Database!$B$4:$B$1048576,$I$3,Database!$D$4:$D$1048576,{"SB1","SB2","BMS","MKS","DPS","KDR","MLG","SMD","PTK","JBR","MNO","JPU","MTR","BPP","KPG","PLU"},Database!$M$4:$M$1048576,"=2",Database!$F$4:$F$1048576,"Apotek")),IF($I$5="Rumah Sakit",SUM(SUMIFS(Database!$M$4:$M$1048576,Database!$B$4:$B$1048576,$I$3,Database!$D$4:$D$1048576,{"SB1","SB2","BMS","MKS","DPS","KDR","MLG","SMD","PTK","JBR","MNO","JPU","MTR","BPP","KPG","PLU"},Database!$M$4:$M$1048576,"=2",Database!$F$4:$F$1048576,"Rumah sakit")),IF($I$5="Subdis",SUM(SUMIFS(Database!$M$4:$M$1048576,Database!$B$4:$B$1048576,$I$3,Database!$D$4:$D$1048576,{"SB1","SB2","BMS","MKS","DPS","KDR","MLG","SMD","PTK","JBR","MNO","JPU","MTR","BPP","KPG","PLU"},Database!$M$4:$M$1048576,"=2",Database!$F$4:$F$1048576,"Subdis")),0)))))))/$C$8</f>
        <v>0</v>
      </c>
      <c r="D15" s="23">
        <f>IF($I$4="Barat",IF($I$5="All",SUM(SUMIFS(Database!$M$4:$M$1048576,Database!$B$4:$B$1048576,$I$3,Database!$D$4:$D$1048576,{"JK2","MDN","TGR","PKB","PLB","BDL","PMS","PDG","BTM","BAC","JBI","PKP","BKL","LSE","PJT"},Database!$M$4:$M$1048576,"=3")),IF($I$5="Apotek",SUM(SUMIFS(Database!$M$4:$M$1048576,Database!$B$4:$B$1048576,$I$3,Database!$D$4:$D$1048576,{"JK2","MDN","TGR","PKB","PLB","BDL","PMS","PDG","BTM","BAC","JBI","PKP","BKL","LSE","PJT"},Database!$M$4:$M$1048576,"=3",Database!$F$4:$F$1048576,"Apotek")),IF($I$5="Rumah Sakit",SUM(SUMIFS(Database!$M$4:$M$1048576,Database!$B$4:$B$1048576,$I$3,Database!$D$4:$D$1048576,{"JK2","MDN","TGR","PKB","PLB","BDL","PMS","PDG","BTM","BAC","JBI","PKP","BKL","LSE","PJT"},Database!$M$4:$M$1048576,"=3",Database!$F$4:$F$1048576,"Rumah sakit")),IF($I$5="Subdis",SUM(SUMIFS(Database!$M$4:$M$1048576,Database!$B$4:$B$1048576,$I$3,Database!$D$4:$D$1048576,{"JK2","MDN","TGR","PKB","PLB","BDL","PMS","PDG","BTM","BAC","JBI","PKP","BKL","LSE","PJT"},Database!$M$4:$M$1048576,"=3",Database!$F$4:$F$1048576,"Subdis")),0)))),IF($I$4="Tengah",IF($I$5="All",SUM(SUMIFS(Database!$M$4:$M$1048576,Database!$B$4:$B$1048576,$I$3,Database!$D$4:$D$1048576,{"JK1","JK3","BDG","SMG","BGR","YOG","SLO","CRB","PWK","BKS","KDS","TGL","TSK","SKI","BD2"},Database!$M$4:$M$1048576,"=3")),IF($I$5="Apotek",SUM(SUMIFS(Database!$M$4:$M$1048576,Database!$B$4:$B$1048576,$I$3,Database!$D$4:$D$1048576,{"JK1","JK3","BDG","SMG","BGR","YOG","SLO","CRB","PWK","BKS","KDS","TGL","TSK","SKI","BD2"},Database!$M$4:$M$1048576,"=3",Database!$F$4:$F$1048576,"Apotek")),IF($I$5="Rumah Sakit",SUM(SUMIFS(Database!$M$4:$M$1048576,Database!$B$4:$B$1048576,$I$3,Database!$D$4:$D$1048576,{"JK1","JK3","BDG","SMG","BGR","YOG","SLO","CRB","PWK","BKS","KDS","TGL","TSK","SKI","BD2"},Database!$M$4:$M$1048576,"=3",Database!$F$4:$F$1048576,"Rumah sakit")),IF($I$5="Subdis",SUM(SUMIFS(Database!$M$4:$M$1048576,Database!$B$4:$B$1048576,$I$3,Database!$D$4:$D$1048576,{"JK1","JK3","BDG","SMG","BGR","YOG","SLO","CRB","PWK","BKS","KDS","TGL","TSK","SKI","BD2"},Database!$M$4:$M$1048576,"=3",Database!$F$4:$F$1048576,"Subdis")),0)))),IF($I$4="Timur",IF($I$5="All",SUM(SUMIFS(Database!$M$4:$M$1048576,Database!$B$4:$B$1048576,$I$3,Database!$D$4:$D$1048576,{"SB1","SB2","BMS","MKS","DPS","KDR","MLG","SMD","PTK","JBR","MNO","JPU","MTR","BPP","KPG","PLU"},Database!$M$4:$M$1048576,"=3")),IF($I$5="Apotek",SUM(SUMIFS(Database!$M$4:$M$1048576,Database!$B$4:$B$1048576,$I$3,Database!$D$4:$D$1048576,{"SB1","SB2","BMS","MKS","DPS","KDR","MLG","SMD","PTK","JBR","MNO","JPU","MTR","BPP","KPG","PLU"},Database!$M$4:$M$1048576,"=3",Database!$F$4:$F$1048576,"Apotek")),IF($I$5="Rumah Sakit",SUM(SUMIFS(Database!$M$4:$M$1048576,Database!$B$4:$B$1048576,$I$3,Database!$D$4:$D$1048576,{"SB1","SB2","BMS","MKS","DPS","KDR","MLG","SMD","PTK","JBR","MNO","JPU","MTR","BPP","KPG","PLU"},Database!$M$4:$M$1048576,"=3",Database!$F$4:$F$1048576,"Rumah sakit")),IF($I$5="Subdis",SUM(SUMIFS(Database!$M$4:$M$1048576,Database!$B$4:$B$1048576,$I$3,Database!$D$4:$D$1048576,{"SB1","SB2","BMS","MKS","DPS","KDR","MLG","SMD","PTK","JBR","MNO","JPU","MTR","BPP","KPG","PLU"},Database!$M$4:$M$1048576,"=3",Database!$F$4:$F$1048576,"Subdis")),0)))))))/$D$8</f>
        <v>0</v>
      </c>
      <c r="E15" s="23">
        <f>IF($I$4="Barat",IF($I$5="All",SUM(SUMIFS(Database!$M$4:$M$1048576,Database!$B$4:$B$1048576,$I$3,Database!$D$4:$D$1048576,{"JK2","MDN","TGR","PKB","PLB","BDL","PMS","PDG","BTM","BAC","JBI","PKP","BKL","LSE","PJT"},Database!$M$4:$M$1048576,"=4")),IF($I$5="Apotek",SUM(SUMIFS(Database!$M$4:$M$1048576,Database!$B$4:$B$1048576,$I$3,Database!$D$4:$D$1048576,{"JK2","MDN","TGR","PKB","PLB","BDL","PMS","PDG","BTM","BAC","JBI","PKP","BKL","LSE","PJT"},Database!$M$4:$M$1048576,"=4",Database!$F$4:$F$1048576,"Apotek")),IF($I$5="Rumah Sakit",SUM(SUMIFS(Database!$M$4:$M$1048576,Database!$B$4:$B$1048576,$I$3,Database!$D$4:$D$1048576,{"JK2","MDN","TGR","PKB","PLB","BDL","PMS","PDG","BTM","BAC","JBI","PKP","BKL","LSE","PJT"},Database!$M$4:$M$1048576,"=4",Database!$F$4:$F$1048576,"Rumah sakit")),IF($I$5="Subdis",SUM(SUMIFS(Database!$M$4:$M$1048576,Database!$B$4:$B$1048576,$I$3,Database!$D$4:$D$1048576,{"JK2","MDN","TGR","PKB","PLB","BDL","PMS","PDG","BTM","BAC","JBI","PKP","BKL","LSE","PJT"},Database!$M$4:$M$1048576,"=4",Database!$F$4:$F$1048576,"Subdis")),0)))),IF($I$4="Tengah",IF($I$5="All",SUM(SUMIFS(Database!$M$4:$M$1048576,Database!$B$4:$B$1048576,$I$3,Database!$D$4:$D$1048576,{"JK1","JK3","BDG","SMG","BGR","YOG","SLO","CRB","PWK","BKS","KDS","TGL","TSK","SKI","BD2"},Database!$M$4:$M$1048576,"=4")),IF($I$5="Apotek",SUM(SUMIFS(Database!$M$4:$M$1048576,Database!$B$4:$B$1048576,$I$3,Database!$D$4:$D$1048576,{"JK1","JK3","BDG","SMG","BGR","YOG","SLO","CRB","PWK","BKS","KDS","TGL","TSK","SKI","BD2"},Database!$M$4:$M$1048576,"=4",Database!$F$4:$F$1048576,"Apotek")),IF($I$5="Rumah Sakit",SUM(SUMIFS(Database!$M$4:$M$1048576,Database!$B$4:$B$1048576,$I$3,Database!$D$4:$D$1048576,{"JK1","JK3","BDG","SMG","BGR","YOG","SLO","CRB","PWK","BKS","KDS","TGL","TSK","SKI","BD2"},Database!$M$4:$M$1048576,"=4",Database!$F$4:$F$1048576,"Rumah sakit")),IF($I$5="Subdis",SUM(SUMIFS(Database!$M$4:$M$1048576,Database!$B$4:$B$1048576,$I$3,Database!$D$4:$D$1048576,{"JK1","JK3","BDG","SMG","BGR","YOG","SLO","CRB","PWK","BKS","KDS","TGL","TSK","SKI","BD2"},Database!$M$4:$M$1048576,"=4",Database!$F$4:$F$1048576,"Subdis")),0)))),IF($I$4="Timur",IF($I$5="All",SUM(SUMIFS(Database!$M$4:$M$1048576,Database!$B$4:$B$1048576,$I$3,Database!$D$4:$D$1048576,{"SB1","SB2","BMS","MKS","DPS","KDR","MLG","SMD","PTK","JBR","MNO","JPU","MTR","BPP","KPG","PLU"},Database!$M$4:$M$1048576,"=4")),IF($I$5="Apotek",SUM(SUMIFS(Database!$M$4:$M$1048576,Database!$B$4:$B$1048576,$I$3,Database!$D$4:$D$1048576,{"SB1","SB2","BMS","MKS","DPS","KDR","MLG","SMD","PTK","JBR","MNO","JPU","MTR","BPP","KPG","PLU"},Database!$M$4:$M$1048576,"=4",Database!$F$4:$F$1048576,"Apotek")),IF($I$5="Rumah Sakit",SUM(SUMIFS(Database!$M$4:$M$1048576,Database!$B$4:$B$1048576,$I$3,Database!$D$4:$D$1048576,{"SB1","SB2","BMS","MKS","DPS","KDR","MLG","SMD","PTK","JBR","MNO","JPU","MTR","BPP","KPG","PLU"},Database!$M$4:$M$1048576,"=4",Database!$F$4:$F$1048576,"Rumah sakit")),IF($I$5="Subdis",SUM(SUMIFS(Database!$M$4:$M$1048576,Database!$B$4:$B$1048576,$I$3,Database!$D$4:$D$1048576,{"SB1","SB2","BMS","MKS","DPS","KDR","MLG","SMD","PTK","JBR","MNO","JPU","MTR","BPP","KPG","PLU"},Database!$M$4:$M$1048576,"=4",Database!$F$4:$F$1048576,"Subdis")),0)))))))/$E$8</f>
        <v>0</v>
      </c>
      <c r="F15" s="9">
        <f t="shared" si="0"/>
        <v>0</v>
      </c>
      <c r="G15" s="10" t="e">
        <f t="shared" si="10"/>
        <v>#DIV/0!</v>
      </c>
      <c r="H15" s="23">
        <f>IF($I$4="Barat",IF($I$5="All",SUM(SUMIFS(Database!$AN$4:$AN$1048576,Database!$AC$4:$AC$1048576,$I$3,Database!$AE$4:$AE$1048576,{"JK2","MDN","TGR","PKB","PLB","BDL","PMS","PDG","BTM","BAC","JBI","PKP","BKL","LSE","PJT"},Database!$AN$4:$AN$1048576,"=1")),IF($I$5="Apotek",SUM(SUMIFS(Database!$AN$4:$AN$1048576,Database!$AC$4:$AC$1048576,$I$3,Database!$AE$4:$AE$1048576,{"JK2","MDN","TGR","PKB","PLB","BDL","PMS","PDG","BTM","BAC","JBI","PKP","BKL","LSE","PJT"},Database!$AN$4:$AN$1048576,"=1",Database!$AG$4:$AG$1048576,"Apotek")),IF($I$5="Rumah Sakit",SUM(SUMIFS(Database!$AN$4:$AN$1048576,Database!$AC$4:$AC$1048576,$I$3,Database!$AE$4:$AE$1048576,{"JK2","MDN","TGR","PKB","PLB","BDL","PMS","PDG","BTM","BAC","JBI","PKP","BKL","LSE","PJT"},Database!$AN$4:$AN$1048576,"=1",Database!$AG$4:$AG$1048576,"Rumah sakit")),IF($I$5="Subdis",SUM(SUMIFS(Database!$AN$4:$AN$1048576,Database!$AC$4:$AC$1048576,$I$3,Database!$AE$4:$AE$1048576,{"JK2","MDN","TGR","PKB","PLB","BDL","PMS","PDG","BTM","BAC","JBI","PKP","BKL","LSE","PJT"},Database!$AN$4:$AN$1048576,"=1",Database!$AG$4:$AG$1048576,"Subdis")),0)))),IF($I$4="Tengah",IF($I$5="All",SUM(SUMIFS(Database!$AN$4:$AN$1048576,Database!$AC$4:$AC$1048576,$I$3,Database!$AE$4:$AE$1048576,{"JK1","JK3","BDG","SMG","BGR","YOG","SLO","CRB","PWK","BKS","KDS","TGL","TSK","SKI","BD2"},Database!$AN$4:$AN$1048576,"=1")),IF($I$5="Apotek",SUM(SUMIFS(Database!$AN$4:$AN$1048576,Database!$AC$4:$AC$1048576,$I$3,Database!$AE$4:$AE$1048576,{"JK1","JK3","BDG","SMG","BGR","YOG","SLO","CRB","PWK","BKS","KDS","TGL","TSK","SKI","BD2"},Database!$AN$4:$AN$1048576,"=1",Database!$AG$4:$AG$1048576,"Apotek")),IF($I$5="Rumah Sakit",SUM(SUMIFS(Database!$AN$4:$AN$1048576,Database!$AC$4:$AC$1048576,$I$3,Database!$AE$4:$AE$1048576,{"JK1","JK3","BDG","SMG","BGR","YOG","SLO","CRB","PWK","BKS","KDS","TGL","TSK","SKI","BD2"},Database!$AN$4:$AN$1048576,"=1",Database!$AG$4:$AG$1048576,"Rumah sakit")),IF($I$5="Subdis",SUM(SUMIFS(Database!$AN$4:$AN$1048576,Database!$AC$4:$AC$1048576,$I$3,Database!$AE$4:$AE$1048576,{"JK1","JK3","BDG","SMG","BGR","YOG","SLO","CRB","PWK","BKS","KDS","TGL","TSK","SKI","BD2"},Database!$AN$4:$AN$1048576,"=1",Database!$AG$4:$AG$1048576,"Subdis")),0)))),IF($I$4="Timur",IF($I$5="All",SUM(SUMIFS(Database!$AN$4:$AN$1048576,Database!$AC$4:$AC$1048576,$I$3,Database!$AE$4:$AE$1048576,{"SB1","SB2","BMS","MKS","DPS","KDR","MLG","SMD","PTK","JBR","MNO","JPU","MTR","BPP","KPG","PLU"},Database!$AN$4:$AN$1048576,"=1")),IF($I$5="Apotek",SUM(SUMIFS(Database!$AN$4:$AN$1048576,Database!$AC$4:$AC$1048576,$I$3,Database!$AE$4:$AE$1048576,{"SB1","SB2","BMS","MKS","DPS","KDR","MLG","SMD","PTK","JBR","MNO","JPU","MTR","BPP","KPG","PLU"},Database!$AN$4:$AN$1048576,"=1",Database!$AG$4:$AG$1048576,"Apotek")),IF($I$5="Rumah Sakit",SUM(SUMIFS(Database!$AN$4:$AN$1048576,Database!$AC$4:$AC$1048576,$I$3,Database!$AE$4:$AE$1048576,{"SB1","SB2","BMS","MKS","DPS","KDR","MLG","SMD","PTK","JBR","MNO","JPU","MTR","BPP","KPG","PLU"},Database!$AN$4:$AN$1048576,"=1",Database!$AG$4:$AG$1048576,"Rumah sakit")),IF($I$5="Subdis",SUM(SUMIFS(Database!$AN$4:$AN$1048576,Database!$AC$4:$AC$1048576,$I$3,Database!$AE$4:$AE$1048576,{"SB1","SB2","BMS","MKS","DPS","KDR","MLG","SMD","PTK","JBR","MNO","JPU","MTR","BPP","KPG","PLU"},Database!$AN$4:$AN$1048576,"=1",Database!$AG$4:$AG$1048576,"Subdis")),0)))))))/$B$8</f>
        <v>0</v>
      </c>
      <c r="I15" s="23">
        <f>IF($I$4="Barat",IF($I$5="All",SUM(SUMIFS(Database!$AN$4:$AN$1048576,Database!$AC$4:$AC$1048576,$I$3,Database!$AE$4:$AE$1048576,{"JK2","MDN","TGR","PKB","PLB","BDL","PMS","PDG","BTM","BAC","JBI","PKP","BKL","LSE","PJT"},Database!$AN$4:$AN$1048576,"=2")),IF($I$5="Apotek",SUM(SUMIFS(Database!$AN$4:$AN$1048576,Database!$AC$4:$AC$1048576,$I$3,Database!$AE$4:$AE$1048576,{"JK2","MDN","TGR","PKB","PLB","BDL","PMS","PDG","BTM","BAC","JBI","PKP","BKL","LSE","PJT"},Database!$AN$4:$AN$1048576,"=2",Database!$AG$4:$AG$1048576,"Apotek")),IF($I$5="Rumah Sakit",SUM(SUMIFS(Database!$AN$4:$AN$1048576,Database!$AC$4:$AC$1048576,$I$3,Database!$AE$4:$AE$1048576,{"JK2","MDN","TGR","PKB","PLB","BDL","PMS","PDG","BTM","BAC","JBI","PKP","BKL","LSE","PJT"},Database!$AN$4:$AN$1048576,"=2",Database!$AG$4:$AG$1048576,"Rumah sakit")),IF($I$5="Subdis",SUM(SUMIFS(Database!$AN$4:$AN$1048576,Database!$AC$4:$AC$1048576,$I$3,Database!$AE$4:$AE$1048576,{"JK2","MDN","TGR","PKB","PLB","BDL","PMS","PDG","BTM","BAC","JBI","PKP","BKL","LSE","PJT"},Database!$AN$4:$AN$1048576,"=2",Database!$AG$4:$AG$1048576,"Subdis")),0)))),IF($I$4="Tengah",IF($I$5="All",SUM(SUMIFS(Database!$AN$4:$AN$1048576,Database!$AC$4:$AC$1048576,$I$3,Database!$AE$4:$AE$1048576,{"JK1","JK3","BDG","SMG","BGR","YOG","SLO","CRB","PWK","BKS","KDS","TGL","TSK","SKI","BD2"},Database!$AN$4:$AN$1048576,"=2")),IF($I$5="Apotek",SUM(SUMIFS(Database!$AN$4:$AN$1048576,Database!$AC$4:$AC$1048576,$I$3,Database!$AE$4:$AE$1048576,{"JK1","JK3","BDG","SMG","BGR","YOG","SLO","CRB","PWK","BKS","KDS","TGL","TSK","SKI","BD2"},Database!$AN$4:$AN$1048576,"=2",Database!$AG$4:$AG$1048576,"Apotek")),IF($I$5="Rumah Sakit",SUM(SUMIFS(Database!$AN$4:$AN$1048576,Database!$AC$4:$AC$1048576,$I$3,Database!$AE$4:$AE$1048576,{"JK1","JK3","BDG","SMG","BGR","YOG","SLO","CRB","PWK","BKS","KDS","TGL","TSK","SKI","BD2"},Database!$AN$4:$AN$1048576,"=2",Database!$AG$4:$AG$1048576,"Rumah sakit")),IF($I$5="Subdis",SUM(SUMIFS(Database!$AN$4:$AN$1048576,Database!$AC$4:$AC$1048576,$I$3,Database!$AE$4:$AE$1048576,{"JK1","JK3","BDG","SMG","BGR","YOG","SLO","CRB","PWK","BKS","KDS","TGL","TSK","SKI","BD2"},Database!$AN$4:$AN$1048576,"=2",Database!$AG$4:$AG$1048576,"Subdis")),0)))),IF($I$4="Timur",IF($I$5="All",SUM(SUMIFS(Database!$AN$4:$AN$1048576,Database!$AC$4:$AC$1048576,$I$3,Database!$AE$4:$AE$1048576,{"SB1","SB2","BMS","MKS","DPS","KDR","MLG","SMD","PTK","JBR","MNO","JPU","MTR","BPP","KPG","PLU"},Database!$AN$4:$AN$1048576,"=2")),IF($I$5="Apotek",SUM(SUMIFS(Database!$AN$4:$AN$1048576,Database!$AC$4:$AC$1048576,$I$3,Database!$AE$4:$AE$1048576,{"SB1","SB2","BMS","MKS","DPS","KDR","MLG","SMD","PTK","JBR","MNO","JPU","MTR","BPP","KPG","PLU"},Database!$AN$4:$AN$1048576,"=2",Database!$AG$4:$AG$1048576,"Apotek")),IF($I$5="Rumah Sakit",SUM(SUMIFS(Database!$AN$4:$AN$1048576,Database!$AC$4:$AC$1048576,$I$3,Database!$AE$4:$AE$1048576,{"SB1","SB2","BMS","MKS","DPS","KDR","MLG","SMD","PTK","JBR","MNO","JPU","MTR","BPP","KPG","PLU"},Database!$AN$4:$AN$1048576,"=2",Database!$AG$4:$AG$1048576,"Rumah sakit")),IF($I$5="Subdis",SUM(SUMIFS(Database!$AN$4:$AN$1048576,Database!$AC$4:$AC$1048576,$I$3,Database!$AE$4:$AE$1048576,{"SB1","SB2","BMS","MKS","DPS","KDR","MLG","SMD","PTK","JBR","MNO","JPU","MTR","BPP","KPG","PLU"},Database!$AN$4:$AN$1048576,"=2",Database!$AG$4:$AG$1048576,"Subdis")),0)))))))/$C$8</f>
        <v>0</v>
      </c>
      <c r="J15" s="23">
        <f>IF($I$4="Barat",IF($I$5="All",SUM(SUMIFS(Database!$AN$4:$AN$1048576,Database!$AC$4:$AC$1048576,$I$3,Database!$AE$4:$AE$1048576,{"JK2","MDN","TGR","PKB","PLB","BDL","PMS","PDG","BTM","BAC","JBI","PKP","BKL","LSE","PJT"},Database!$AN$4:$AN$1048576,"=3")),IF($I$5="Apotek",SUM(SUMIFS(Database!$AN$4:$AN$1048576,Database!$AC$4:$AC$1048576,$I$3,Database!$AE$4:$AE$1048576,{"JK2","MDN","TGR","PKB","PLB","BDL","PMS","PDG","BTM","BAC","JBI","PKP","BKL","LSE","PJT"},Database!$AN$4:$AN$1048576,"=3",Database!$AG$4:$AG$1048576,"Apotek")),IF($I$5="Rumah Sakit",SUM(SUMIFS(Database!$AN$4:$AN$1048576,Database!$AC$4:$AC$1048576,$I$3,Database!$AE$4:$AE$1048576,{"JK2","MDN","TGR","PKB","PLB","BDL","PMS","PDG","BTM","BAC","JBI","PKP","BKL","LSE","PJT"},Database!$AN$4:$AN$1048576,"=3",Database!$AG$4:$AG$1048576,"Rumah sakit")),IF($I$5="Subdis",SUM(SUMIFS(Database!$AN$4:$AN$1048576,Database!$AC$4:$AC$1048576,$I$3,Database!$AE$4:$AE$1048576,{"JK2","MDN","TGR","PKB","PLB","BDL","PMS","PDG","BTM","BAC","JBI","PKP","BKL","LSE","PJT"},Database!$AN$4:$AN$1048576,"=3",Database!$AG$4:$AG$1048576,"Subdis")),0)))),IF($I$4="Tengah",IF($I$5="All",SUM(SUMIFS(Database!$AN$4:$AN$1048576,Database!$AC$4:$AC$1048576,$I$3,Database!$AE$4:$AE$1048576,{"JK1","JK3","BDG","SMG","BGR","YOG","SLO","CRB","PWK","BKS","KDS","TGL","TSK","SKI","BD2"},Database!$AN$4:$AN$1048576,"=3")),IF($I$5="Apotek",SUM(SUMIFS(Database!$AN$4:$AN$1048576,Database!$AC$4:$AC$1048576,$I$3,Database!$AE$4:$AE$1048576,{"JK1","JK3","BDG","SMG","BGR","YOG","SLO","CRB","PWK","BKS","KDS","TGL","TSK","SKI","BD2"},Database!$AN$4:$AN$1048576,"=3",Database!$AG$4:$AG$1048576,"Apotek")),IF($I$5="Rumah Sakit",SUM(SUMIFS(Database!$AN$4:$AN$1048576,Database!$AC$4:$AC$1048576,$I$3,Database!$AE$4:$AE$1048576,{"JK1","JK3","BDG","SMG","BGR","YOG","SLO","CRB","PWK","BKS","KDS","TGL","TSK","SKI","BD2"},Database!$AN$4:$AN$1048576,"=3",Database!$AG$4:$AG$1048576,"Rumah sakit")),IF($I$5="Subdis",SUM(SUMIFS(Database!$AN$4:$AN$1048576,Database!$AC$4:$AC$1048576,$I$3,Database!$AE$4:$AE$1048576,{"JK1","JK3","BDG","SMG","BGR","YOG","SLO","CRB","PWK","BKS","KDS","TGL","TSK","SKI","BD2"},Database!$AN$4:$AN$1048576,"=3",Database!$AG$4:$AG$1048576,"Subdis")),0)))),IF($I$4="Timur",IF($I$5="All",SUM(SUMIFS(Database!$AN$4:$AN$1048576,Database!$AC$4:$AC$1048576,$I$3,Database!$AE$4:$AE$1048576,{"SB1","SB2","BMS","MKS","DPS","KDR","MLG","SMD","PTK","JBR","MNO","JPU","MTR","BPP","KPG","PLU"},Database!$AN$4:$AN$1048576,"=3")),IF($I$5="Apotek",SUM(SUMIFS(Database!$AN$4:$AN$1048576,Database!$AC$4:$AC$1048576,$I$3,Database!$AE$4:$AE$1048576,{"SB1","SB2","BMS","MKS","DPS","KDR","MLG","SMD","PTK","JBR","MNO","JPU","MTR","BPP","KPG","PLU"},Database!$AN$4:$AN$1048576,"=3",Database!$AG$4:$AG$1048576,"Apotek")),IF($I$5="Rumah Sakit",SUM(SUMIFS(Database!$AN$4:$AN$1048576,Database!$AC$4:$AC$1048576,$I$3,Database!$AE$4:$AE$1048576,{"SB1","SB2","BMS","MKS","DPS","KDR","MLG","SMD","PTK","JBR","MNO","JPU","MTR","BPP","KPG","PLU"},Database!$AN$4:$AN$1048576,"=3",Database!$AG$4:$AG$1048576,"Rumah sakit")),IF($I$5="Subdis",SUM(SUMIFS(Database!$AN$4:$AN$1048576,Database!$AC$4:$AC$1048576,$I$3,Database!$AE$4:$AE$1048576,{"SB1","SB2","BMS","MKS","DPS","KDR","MLG","SMD","PTK","JBR","MNO","JPU","MTR","BPP","KPG","PLU"},Database!$AN$4:$AN$1048576,"=3",Database!$AG$4:$AG$1048576,"Subdis")),0)))))))/$D$8</f>
        <v>0</v>
      </c>
      <c r="K15" s="23">
        <f>IF($I$4="Barat",IF($I$5="All",SUM(SUMIFS(Database!$AN$4:$AN$1048576,Database!$AC$4:$AC$1048576,$I$3,Database!$AE$4:$AE$1048576,{"JK2","MDN","TGR","PKB","PLB","BDL","PMS","PDG","BTM","BAC","JBI","PKP","BKL","LSE","PJT"},Database!$AN$4:$AN$1048576,"=4")),IF($I$5="Apotek",SUM(SUMIFS(Database!$AN$4:$AN$1048576,Database!$AC$4:$AC$1048576,$I$3,Database!$AE$4:$AE$1048576,{"JK2","MDN","TGR","PKB","PLB","BDL","PMS","PDG","BTM","BAC","JBI","PKP","BKL","LSE","PJT"},Database!$AN$4:$AN$1048576,"=4",Database!$AG$4:$AG$1048576,"Apotek")),IF($I$5="Rumah Sakit",SUM(SUMIFS(Database!$AN$4:$AN$1048576,Database!$AC$4:$AC$1048576,$I$3,Database!$AE$4:$AE$1048576,{"JK2","MDN","TGR","PKB","PLB","BDL","PMS","PDG","BTM","BAC","JBI","PKP","BKL","LSE","PJT"},Database!$AN$4:$AN$1048576,"=4",Database!$AG$4:$AG$1048576,"Rumah sakit")),IF($I$5="Subdis",SUM(SUMIFS(Database!$AN$4:$AN$1048576,Database!$AC$4:$AC$1048576,$I$3,Database!$AE$4:$AE$1048576,{"JK2","MDN","TGR","PKB","PLB","BDL","PMS","PDG","BTM","BAC","JBI","PKP","BKL","LSE","PJT"},Database!$AN$4:$AN$1048576,"=4",Database!$AG$4:$AG$1048576,"Subdis")),0)))),IF($I$4="Tengah",IF($I$5="All",SUM(SUMIFS(Database!$AN$4:$AN$1048576,Database!$AC$4:$AC$1048576,$I$3,Database!$AE$4:$AE$1048576,{"JK1","JK3","BDG","SMG","BGR","YOG","SLO","CRB","PWK","BKS","KDS","TGL","TSK","SKI","BD2"},Database!$AN$4:$AN$1048576,"=4")),IF($I$5="Apotek",SUM(SUMIFS(Database!$AN$4:$AN$1048576,Database!$AC$4:$AC$1048576,$I$3,Database!$AE$4:$AE$1048576,{"JK1","JK3","BDG","SMG","BGR","YOG","SLO","CRB","PWK","BKS","KDS","TGL","TSK","SKI","BD2"},Database!$AN$4:$AN$1048576,"=4",Database!$AG$4:$AG$1048576,"Apotek")),IF($I$5="Rumah Sakit",SUM(SUMIFS(Database!$AN$4:$AN$1048576,Database!$AC$4:$AC$1048576,$I$3,Database!$AE$4:$AE$1048576,{"JK1","JK3","BDG","SMG","BGR","YOG","SLO","CRB","PWK","BKS","KDS","TGL","TSK","SKI","BD2"},Database!$AN$4:$AN$1048576,"=4",Database!$AG$4:$AG$1048576,"Rumah sakit")),IF($I$5="Subdis",SUM(SUMIFS(Database!$AN$4:$AN$1048576,Database!$AC$4:$AC$1048576,$I$3,Database!$AE$4:$AE$1048576,{"JK1","JK3","BDG","SMG","BGR","YOG","SLO","CRB","PWK","BKS","KDS","TGL","TSK","SKI","BD2"},Database!$AN$4:$AN$1048576,"=4",Database!$AG$4:$AG$1048576,"Subdis")),0)))),IF($I$4="Timur",IF($I$5="All",SUM(SUMIFS(Database!$AN$4:$AN$1048576,Database!$AC$4:$AC$1048576,$I$3,Database!$AE$4:$AE$1048576,{"SB1","SB2","BMS","MKS","DPS","KDR","MLG","SMD","PTK","JBR","MNO","JPU","MTR","BPP","KPG","PLU"},Database!$AN$4:$AN$1048576,"=4")),IF($I$5="Apotek",SUM(SUMIFS(Database!$AN$4:$AN$1048576,Database!$AC$4:$AC$1048576,$I$3,Database!$AE$4:$AE$1048576,{"SB1","SB2","BMS","MKS","DPS","KDR","MLG","SMD","PTK","JBR","MNO","JPU","MTR","BPP","KPG","PLU"},Database!$AN$4:$AN$1048576,"=4",Database!$AG$4:$AG$1048576,"Apotek")),IF($I$5="Rumah Sakit",SUM(SUMIFS(Database!$AN$4:$AN$1048576,Database!$AC$4:$AC$1048576,$I$3,Database!$AE$4:$AE$1048576,{"SB1","SB2","BMS","MKS","DPS","KDR","MLG","SMD","PTK","JBR","MNO","JPU","MTR","BPP","KPG","PLU"},Database!$AN$4:$AN$1048576,"=4",Database!$AG$4:$AG$1048576,"Rumah sakit")),IF($I$5="Subdis",SUM(SUMIFS(Database!$AN$4:$AN$1048576,Database!$AC$4:$AC$1048576,$I$3,Database!$AE$4:$AE$1048576,{"SB1","SB2","BMS","MKS","DPS","KDR","MLG","SMD","PTK","JBR","MNO","JPU","MTR","BPP","KPG","PLU"},Database!$AN$4:$AN$1048576,"=4",Database!$AG$4:$AG$1048576,"Subdis")),0)))))))/$E$8</f>
        <v>0</v>
      </c>
      <c r="L15" s="9">
        <f t="shared" si="1"/>
        <v>0</v>
      </c>
      <c r="M15" s="10" t="e">
        <f t="shared" si="2"/>
        <v>#DIV/0!</v>
      </c>
      <c r="N15" s="10" t="e">
        <f t="shared" si="3"/>
        <v>#DIV/0!</v>
      </c>
      <c r="O15" s="32" t="e">
        <f t="shared" si="4"/>
        <v>#DIV/0!</v>
      </c>
      <c r="P15" s="12" t="s">
        <v>3</v>
      </c>
      <c r="Q15" s="32" t="e">
        <f>RANK(N15,$N$15:$N$19,0)</f>
        <v>#DIV/0!</v>
      </c>
      <c r="R15" s="81" t="e">
        <f t="shared" si="6"/>
        <v>#DIV/0!</v>
      </c>
      <c r="S15" s="81" t="e">
        <f t="shared" si="7"/>
        <v>#DIV/0!</v>
      </c>
      <c r="T15" s="81" t="e">
        <f>RANK(G15,$G$15:$G$19)</f>
        <v>#DIV/0!</v>
      </c>
      <c r="U15" s="81" t="e">
        <f>RANK(M15,$M$15:$M$19)</f>
        <v>#DIV/0!</v>
      </c>
      <c r="V15" s="255" t="s">
        <v>183</v>
      </c>
    </row>
    <row r="16" spans="1:22" ht="18" x14ac:dyDescent="0.35">
      <c r="A16" s="9" t="s">
        <v>21</v>
      </c>
      <c r="B16" s="23">
        <f>IF($I$4="Barat",IF($I$5="All",SUM(SUMIFS(Database!$N$4:$N$1048576,Database!$B$4:$B$1048576,$I$3,Database!$D$4:$D$1048576,{"JK2","MDN","TGR","PKB","PLB","BDL","PMS","PDG","BTM","BAC","JBI","PKP","BKL","LSE","PJT"},Database!$N$4:$N$1048576,"=1")),IF($I$5="Apotek",SUM(SUMIFS(Database!$N$4:$N$1048576,Database!$B$4:$B$1048576,$I$3,Database!$D$4:$D$1048576,{"JK2","MDN","TGR","PKB","PLB","BDL","PMS","PDG","BTM","BAC","JBI","PKP","BKL","LSE","PJT"},Database!$N$4:$N$1048576,"=1",Database!$F$4:$F$1048576,"Apotek")),IF($I$5="Rumah Sakit",SUM(SUMIFS(Database!$N$4:$N$1048576,Database!$B$4:$B$1048576,$I$3,Database!$D$4:$D$1048576,{"JK2","MDN","TGR","PKB","PLB","BDL","PMS","PDG","BTM","BAC","JBI","PKP","BKL","LSE","PJT"},Database!$N$4:$N$1048576,"=1",Database!$F$4:$F$1048576,"Rumah sakit")),IF($I$5="Subdis",SUM(SUMIFS(Database!$N$4:$N$1048576,Database!$B$4:$B$1048576,$I$3,Database!$D$4:$D$1048576,{"JK2","MDN","TGR","PKB","PLB","BDL","PMS","PDG","BTM","BAC","JBI","PKP","BKL","LSE","PJT"},Database!$N$4:$N$1048576,"=1",Database!$F$4:$F$1048576,"Subdis")),0)))),IF($I$4="Tengah",IF($I$5="All",SUM(SUMIFS(Database!$N$4:$N$1048576,Database!$B$4:$B$1048576,$I$3,Database!$D$4:$D$1048576,{"JK1","JK3","BDG","SMG","BGR","YOG","SLO","CRB","PWK","BKS","KDS","TGL","TSK","SKI","BD2"},Database!$N$4:$N$1048576,"=1")),IF($I$5="Apotek",SUM(SUMIFS(Database!$N$4:$N$1048576,Database!$B$4:$B$1048576,$I$3,Database!$D$4:$D$1048576,{"JK1","JK3","BDG","SMG","BGR","YOG","SLO","CRB","PWK","BKS","KDS","TGL","TSK","SKI","BD2"},Database!$N$4:$N$1048576,"=1",Database!$F$4:$F$1048576,"Apotek")),IF($I$5="Rumah Sakit",SUM(SUMIFS(Database!$N$4:$N$1048576,Database!$B$4:$B$1048576,$I$3,Database!$D$4:$D$1048576,{"JK1","JK3","BDG","SMG","BGR","YOG","SLO","CRB","PWK","BKS","KDS","TGL","TSK","SKI","BD2"},Database!$N$4:$N$1048576,"=1",Database!$F$4:$F$1048576,"Rumah sakit")),IF($I$5="Subdis",SUM(SUMIFS(Database!$N$4:$N$1048576,Database!$B$4:$B$1048576,$I$3,Database!$D$4:$D$1048576,{"JK1","JK3","BDG","SMG","BGR","YOG","SLO","CRB","PWK","BKS","KDS","TGL","TSK","SKI","BD2"},Database!$N$4:$N$1048576,"=1",Database!$F$4:$F$1048576,"Subdis")),0)))),IF($I$4="Timur",IF($I$5="All",SUM(SUMIFS(Database!$N$4:$N$1048576,Database!$B$4:$B$1048576,$I$3,Database!$D$4:$D$1048576,{"SB1","SB2","BMS","MKS","DPS","KDR","MLG","SMD","PTK","JBR","MNO","JPU","MTR","BPP","KPG","PLU"},Database!$N$4:$N$1048576,"=1")),IF($I$5="Apotek",SUM(SUMIFS(Database!$N$4:$N$1048576,Database!$B$4:$B$1048576,$I$3,Database!$D$4:$D$1048576,{"SB1","SB2","BMS","MKS","DPS","KDR","MLG","SMD","PTK","JBR","MNO","JPU","MTR","BPP","KPG","PLU"},Database!$N$4:$N$1048576,"=1",Database!$F$4:$F$1048576,"Apotek")),IF($I$5="Rumah Sakit",SUM(SUMIFS(Database!$N$4:$N$1048576,Database!$B$4:$B$1048576,$I$3,Database!$D$4:$D$1048576,{"SB1","SB2","BMS","MKS","DPS","KDR","MLG","SMD","PTK","JBR","MNO","JPU","MTR","BPP","KPG","PLU"},Database!$N$4:$N$1048576,"=1",Database!$F$4:$F$1048576,"Rumah sakit")),IF($I$5="Subdis",SUM(SUMIFS(Database!$N$4:$N$1048576,Database!$B$4:$B$1048576,$I$3,Database!$D$4:$D$1048576,{"SB1","SB2","BMS","MKS","DPS","KDR","MLG","SMD","PTK","JBR","MNO","JPU","MTR","BPP","KPG","PLU"},Database!$N$4:$N$1048576,"=1",Database!$F$4:$F$1048576,"Subdis")),0)))))))/$B$8</f>
        <v>0</v>
      </c>
      <c r="C16" s="23">
        <f>IF($I$4="Barat",IF($I$5="All",SUM(SUMIFS(Database!$N$4:$N$1048576,Database!$B$4:$B$1048576,$I$3,Database!$D$4:$D$1048576,{"JK2","MDN","TGR","PKB","PLB","BDL","PMS","PDG","BTM","BAC","JBI","PKP","BKL","LSE","PJT"},Database!$N$4:$N$1048576,"=2")),IF($I$5="Apotek",SUM(SUMIFS(Database!$N$4:$N$1048576,Database!$B$4:$B$1048576,$I$3,Database!$D$4:$D$1048576,{"JK2","MDN","TGR","PKB","PLB","BDL","PMS","PDG","BTM","BAC","JBI","PKP","BKL","LSE","PJT"},Database!$N$4:$N$1048576,"=2",Database!$F$4:$F$1048576,"Apotek")),IF($I$5="Rumah Sakit",SUM(SUMIFS(Database!$N$4:$N$1048576,Database!$B$4:$B$1048576,$I$3,Database!$D$4:$D$1048576,{"JK2","MDN","TGR","PKB","PLB","BDL","PMS","PDG","BTM","BAC","JBI","PKP","BKL","LSE","PJT"},Database!$N$4:$N$1048576,"=2",Database!$F$4:$F$1048576,"Rumah sakit")),IF($I$5="Subdis",SUM(SUMIFS(Database!$N$4:$N$1048576,Database!$B$4:$B$1048576,$I$3,Database!$D$4:$D$1048576,{"JK2","MDN","TGR","PKB","PLB","BDL","PMS","PDG","BTM","BAC","JBI","PKP","BKL","LSE","PJT"},Database!$N$4:$N$1048576,"=2",Database!$F$4:$F$1048576,"Subdis")),0)))),IF($I$4="Tengah",IF($I$5="All",SUM(SUMIFS(Database!$N$4:$N$1048576,Database!$B$4:$B$1048576,$I$3,Database!$D$4:$D$1048576,{"JK1","JK3","BDG","SMG","BGR","YOG","SLO","CRB","PWK","BKS","KDS","TGL","TSK","SKI","BD2"},Database!$N$4:$N$1048576,"=2")),IF($I$5="Apotek",SUM(SUMIFS(Database!$N$4:$N$1048576,Database!$B$4:$B$1048576,$I$3,Database!$D$4:$D$1048576,{"JK1","JK3","BDG","SMG","BGR","YOG","SLO","CRB","PWK","BKS","KDS","TGL","TSK","SKI","BD2"},Database!$N$4:$N$1048576,"=2",Database!$F$4:$F$1048576,"Apotek")),IF($I$5="Rumah Sakit",SUM(SUMIFS(Database!$N$4:$N$1048576,Database!$B$4:$B$1048576,$I$3,Database!$D$4:$D$1048576,{"JK1","JK3","BDG","SMG","BGR","YOG","SLO","CRB","PWK","BKS","KDS","TGL","TSK","SKI","BD2"},Database!$N$4:$N$1048576,"=2",Database!$F$4:$F$1048576,"Rumah sakit")),IF($I$5="Subdis",SUM(SUMIFS(Database!$N$4:$N$1048576,Database!$B$4:$B$1048576,$I$3,Database!$D$4:$D$1048576,{"JK1","JK3","BDG","SMG","BGR","YOG","SLO","CRB","PWK","BKS","KDS","TGL","TSK","SKI","BD2"},Database!$N$4:$N$1048576,"=2",Database!$F$4:$F$1048576,"Subdis")),0)))),IF($I$4="Timur",IF($I$5="All",SUM(SUMIFS(Database!$N$4:$N$1048576,Database!$B$4:$B$1048576,$I$3,Database!$D$4:$D$1048576,{"SB1","SB2","BMS","MKS","DPS","KDR","MLG","SMD","PTK","JBR","MNO","JPU","MTR","BPP","KPG","PLU"},Database!$N$4:$N$1048576,"=2")),IF($I$5="Apotek",SUM(SUMIFS(Database!$N$4:$N$1048576,Database!$B$4:$B$1048576,$I$3,Database!$D$4:$D$1048576,{"SB1","SB2","BMS","MKS","DPS","KDR","MLG","SMD","PTK","JBR","MNO","JPU","MTR","BPP","KPG","PLU"},Database!$N$4:$N$1048576,"=2",Database!$F$4:$F$1048576,"Apotek")),IF($I$5="Rumah Sakit",SUM(SUMIFS(Database!$N$4:$N$1048576,Database!$B$4:$B$1048576,$I$3,Database!$D$4:$D$1048576,{"SB1","SB2","BMS","MKS","DPS","KDR","MLG","SMD","PTK","JBR","MNO","JPU","MTR","BPP","KPG","PLU"},Database!$N$4:$N$1048576,"=2",Database!$F$4:$F$1048576,"Rumah sakit")),IF($I$5="Subdis",SUM(SUMIFS(Database!$N$4:$N$1048576,Database!$B$4:$B$1048576,$I$3,Database!$D$4:$D$1048576,{"SB1","SB2","BMS","MKS","DPS","KDR","MLG","SMD","PTK","JBR","MNO","JPU","MTR","BPP","KPG","PLU"},Database!$N$4:$N$1048576,"=2",Database!$F$4:$F$1048576,"Subdis")),0)))))))/$C$8</f>
        <v>0</v>
      </c>
      <c r="D16" s="23">
        <f>IF($I$4="Barat",IF($I$5="All",SUM(SUMIFS(Database!$N$4:$N$1048576,Database!$B$4:$B$1048576,$I$3,Database!$D$4:$D$1048576,{"JK2","MDN","TGR","PKB","PLB","BDL","PMS","PDG","BTM","BAC","JBI","PKP","BKL","LSE","PJT"},Database!$N$4:$N$1048576,"=3")),IF($I$5="Apotek",SUM(SUMIFS(Database!$N$4:$N$1048576,Database!$B$4:$B$1048576,$I$3,Database!$D$4:$D$1048576,{"JK2","MDN","TGR","PKB","PLB","BDL","PMS","PDG","BTM","BAC","JBI","PKP","BKL","LSE","PJT"},Database!$N$4:$N$1048576,"=3",Database!$F$4:$F$1048576,"Apotek")),IF($I$5="Rumah Sakit",SUM(SUMIFS(Database!$N$4:$N$1048576,Database!$B$4:$B$1048576,$I$3,Database!$D$4:$D$1048576,{"JK2","MDN","TGR","PKB","PLB","BDL","PMS","PDG","BTM","BAC","JBI","PKP","BKL","LSE","PJT"},Database!$N$4:$N$1048576,"=3",Database!$F$4:$F$1048576,"Rumah sakit")),IF($I$5="Subdis",SUM(SUMIFS(Database!$N$4:$N$1048576,Database!$B$4:$B$1048576,$I$3,Database!$D$4:$D$1048576,{"JK2","MDN","TGR","PKB","PLB","BDL","PMS","PDG","BTM","BAC","JBI","PKP","BKL","LSE","PJT"},Database!$N$4:$N$1048576,"=3",Database!$F$4:$F$1048576,"Subdis")),0)))),IF($I$4="Tengah",IF($I$5="All",SUM(SUMIFS(Database!$N$4:$N$1048576,Database!$B$4:$B$1048576,$I$3,Database!$D$4:$D$1048576,{"JK1","JK3","BDG","SMG","BGR","YOG","SLO","CRB","PWK","BKS","KDS","TGL","TSK","SKI","BD2"},Database!$N$4:$N$1048576,"=3")),IF($I$5="Apotek",SUM(SUMIFS(Database!$N$4:$N$1048576,Database!$B$4:$B$1048576,$I$3,Database!$D$4:$D$1048576,{"JK1","JK3","BDG","SMG","BGR","YOG","SLO","CRB","PWK","BKS","KDS","TGL","TSK","SKI","BD2"},Database!$N$4:$N$1048576,"=3",Database!$F$4:$F$1048576,"Apotek")),IF($I$5="Rumah Sakit",SUM(SUMIFS(Database!$N$4:$N$1048576,Database!$B$4:$B$1048576,$I$3,Database!$D$4:$D$1048576,{"JK1","JK3","BDG","SMG","BGR","YOG","SLO","CRB","PWK","BKS","KDS","TGL","TSK","SKI","BD2"},Database!$N$4:$N$1048576,"=3",Database!$F$4:$F$1048576,"Rumah sakit")),IF($I$5="Subdis",SUM(SUMIFS(Database!$N$4:$N$1048576,Database!$B$4:$B$1048576,$I$3,Database!$D$4:$D$1048576,{"JK1","JK3","BDG","SMG","BGR","YOG","SLO","CRB","PWK","BKS","KDS","TGL","TSK","SKI","BD2"},Database!$N$4:$N$1048576,"=3",Database!$F$4:$F$1048576,"Subdis")),0)))),IF($I$4="Timur",IF($I$5="All",SUM(SUMIFS(Database!$N$4:$N$1048576,Database!$B$4:$B$1048576,$I$3,Database!$D$4:$D$1048576,{"SB1","SB2","BMS","MKS","DPS","KDR","MLG","SMD","PTK","JBR","MNO","JPU","MTR","BPP","KPG","PLU"},Database!$N$4:$N$1048576,"=3")),IF($I$5="Apotek",SUM(SUMIFS(Database!$N$4:$N$1048576,Database!$B$4:$B$1048576,$I$3,Database!$D$4:$D$1048576,{"SB1","SB2","BMS","MKS","DPS","KDR","MLG","SMD","PTK","JBR","MNO","JPU","MTR","BPP","KPG","PLU"},Database!$N$4:$N$1048576,"=3",Database!$F$4:$F$1048576,"Apotek")),IF($I$5="Rumah Sakit",SUM(SUMIFS(Database!$N$4:$N$1048576,Database!$B$4:$B$1048576,$I$3,Database!$D$4:$D$1048576,{"SB1","SB2","BMS","MKS","DPS","KDR","MLG","SMD","PTK","JBR","MNO","JPU","MTR","BPP","KPG","PLU"},Database!$N$4:$N$1048576,"=3",Database!$F$4:$F$1048576,"Rumah sakit")),IF($I$5="Subdis",SUM(SUMIFS(Database!$N$4:$N$1048576,Database!$B$4:$B$1048576,$I$3,Database!$D$4:$D$1048576,{"SB1","SB2","BMS","MKS","DPS","KDR","MLG","SMD","PTK","JBR","MNO","JPU","MTR","BPP","KPG","PLU"},Database!$N$4:$N$1048576,"=3",Database!$F$4:$F$1048576,"Subdis")),0)))))))/$D$8</f>
        <v>0</v>
      </c>
      <c r="E16" s="23">
        <f>IF($I$4="Barat",IF($I$5="All",SUM(SUMIFS(Database!$N$4:$N$1048576,Database!$B$4:$B$1048576,$I$3,Database!$D$4:$D$1048576,{"JK2","MDN","TGR","PKB","PLB","BDL","PMS","PDG","BTM","BAC","JBI","PKP","BKL","LSE","PJT"},Database!$N$4:$N$1048576,"=4")),IF($I$5="Apotek",SUM(SUMIFS(Database!$N$4:$N$1048576,Database!$B$4:$B$1048576,$I$3,Database!$D$4:$D$1048576,{"JK2","MDN","TGR","PKB","PLB","BDL","PMS","PDG","BTM","BAC","JBI","PKP","BKL","LSE","PJT"},Database!$N$4:$N$1048576,"=4",Database!$F$4:$F$1048576,"Apotek")),IF($I$5="Rumah Sakit",SUM(SUMIFS(Database!$N$4:$N$1048576,Database!$B$4:$B$1048576,$I$3,Database!$D$4:$D$1048576,{"JK2","MDN","TGR","PKB","PLB","BDL","PMS","PDG","BTM","BAC","JBI","PKP","BKL","LSE","PJT"},Database!$N$4:$N$1048576,"=4",Database!$F$4:$F$1048576,"Rumah sakit")),IF($I$5="Subdis",SUM(SUMIFS(Database!$N$4:$N$1048576,Database!$B$4:$B$1048576,$I$3,Database!$D$4:$D$1048576,{"JK2","MDN","TGR","PKB","PLB","BDL","PMS","PDG","BTM","BAC","JBI","PKP","BKL","LSE","PJT"},Database!$N$4:$N$1048576,"=4",Database!$F$4:$F$1048576,"Subdis")),0)))),IF($I$4="Tengah",IF($I$5="All",SUM(SUMIFS(Database!$N$4:$N$1048576,Database!$B$4:$B$1048576,$I$3,Database!$D$4:$D$1048576,{"JK1","JK3","BDG","SMG","BGR","YOG","SLO","CRB","PWK","BKS","KDS","TGL","TSK","SKI","BD2"},Database!$N$4:$N$1048576,"=4")),IF($I$5="Apotek",SUM(SUMIFS(Database!$N$4:$N$1048576,Database!$B$4:$B$1048576,$I$3,Database!$D$4:$D$1048576,{"JK1","JK3","BDG","SMG","BGR","YOG","SLO","CRB","PWK","BKS","KDS","TGL","TSK","SKI","BD2"},Database!$N$4:$N$1048576,"=4",Database!$F$4:$F$1048576,"Apotek")),IF($I$5="Rumah Sakit",SUM(SUMIFS(Database!$N$4:$N$1048576,Database!$B$4:$B$1048576,$I$3,Database!$D$4:$D$1048576,{"JK1","JK3","BDG","SMG","BGR","YOG","SLO","CRB","PWK","BKS","KDS","TGL","TSK","SKI","BD2"},Database!$N$4:$N$1048576,"=4",Database!$F$4:$F$1048576,"Rumah sakit")),IF($I$5="Subdis",SUM(SUMIFS(Database!$N$4:$N$1048576,Database!$B$4:$B$1048576,$I$3,Database!$D$4:$D$1048576,{"JK1","JK3","BDG","SMG","BGR","YOG","SLO","CRB","PWK","BKS","KDS","TGL","TSK","SKI","BD2"},Database!$N$4:$N$1048576,"=4",Database!$F$4:$F$1048576,"Subdis")),0)))),IF($I$4="Timur",IF($I$5="All",SUM(SUMIFS(Database!$N$4:$N$1048576,Database!$B$4:$B$1048576,$I$3,Database!$D$4:$D$1048576,{"SB1","SB2","BMS","MKS","DPS","KDR","MLG","SMD","PTK","JBR","MNO","JPU","MTR","BPP","KPG","PLU"},Database!$N$4:$N$1048576,"=4")),IF($I$5="Apotek",SUM(SUMIFS(Database!$N$4:$N$1048576,Database!$B$4:$B$1048576,$I$3,Database!$D$4:$D$1048576,{"SB1","SB2","BMS","MKS","DPS","KDR","MLG","SMD","PTK","JBR","MNO","JPU","MTR","BPP","KPG","PLU"},Database!$N$4:$N$1048576,"=4",Database!$F$4:$F$1048576,"Apotek")),IF($I$5="Rumah Sakit",SUM(SUMIFS(Database!$N$4:$N$1048576,Database!$B$4:$B$1048576,$I$3,Database!$D$4:$D$1048576,{"SB1","SB2","BMS","MKS","DPS","KDR","MLG","SMD","PTK","JBR","MNO","JPU","MTR","BPP","KPG","PLU"},Database!$N$4:$N$1048576,"=4",Database!$F$4:$F$1048576,"Rumah sakit")),IF($I$5="Subdis",SUM(SUMIFS(Database!$N$4:$N$1048576,Database!$B$4:$B$1048576,$I$3,Database!$D$4:$D$1048576,{"SB1","SB2","BMS","MKS","DPS","KDR","MLG","SMD","PTK","JBR","MNO","JPU","MTR","BPP","KPG","PLU"},Database!$N$4:$N$1048576,"=4",Database!$F$4:$F$1048576,"Subdis")),0)))))))/$E$8</f>
        <v>0</v>
      </c>
      <c r="F16" s="9">
        <f t="shared" si="0"/>
        <v>0</v>
      </c>
      <c r="G16" s="10" t="e">
        <f t="shared" si="10"/>
        <v>#DIV/0!</v>
      </c>
      <c r="H16" s="23">
        <f>IF($I$4="Barat",IF($I$5="All",SUM(SUMIFS(Database!$AO$4:$AO$1048576,Database!$AC$4:$AC$1048576,$I$3,Database!$AE$4:$AE$1048576,{"JK2","MDN","TGR","PKB","PLB","BDL","PMS","PDG","BTM","BAC","JBI","PKP","BKL","LSE","PJT"},Database!$AO$4:$AO$1048576,"=1")),IF($I$5="Apotek",SUM(SUMIFS(Database!$AO$4:$AO$1048576,Database!$AC$4:$AC$1048576,$I$3,Database!$AE$4:$AE$1048576,{"JK2","MDN","TGR","PKB","PLB","BDL","PMS","PDG","BTM","BAC","JBI","PKP","BKL","LSE","PJT"},Database!$AO$4:$AO$1048576,"=1",Database!$AG$4:$AG$1048576,"Apotek")),IF($I$5="Rumah Sakit",SUM(SUMIFS(Database!$AO$4:$AO$1048576,Database!$AC$4:$AC$1048576,$I$3,Database!$AE$4:$AE$1048576,{"JK2","MDN","TGR","PKB","PLB","BDL","PMS","PDG","BTM","BAC","JBI","PKP","BKL","LSE","PJT"},Database!$AO$4:$AO$1048576,"=1",Database!$AG$4:$AG$1048576,"Rumah sakit")),IF($I$5="Subdis",SUM(SUMIFS(Database!$AO$4:$AO$1048576,Database!$AC$4:$AC$1048576,$I$3,Database!$AE$4:$AE$1048576,{"JK2","MDN","TGR","PKB","PLB","BDL","PMS","PDG","BTM","BAC","JBI","PKP","BKL","LSE","PJT"},Database!$AO$4:$AO$1048576,"=1",Database!$AG$4:$AG$1048576,"Subdis")),0)))),IF($I$4="Tengah",IF($I$5="All",SUM(SUMIFS(Database!$AO$4:$AO$1048576,Database!$AC$4:$AC$1048576,$I$3,Database!$AE$4:$AE$1048576,{"JK1","JK3","BDG","SMG","BGR","YOG","SLO","CRB","PWK","BKS","KDS","TGL","TSK","SKI","BD2"},Database!$AO$4:$AO$1048576,"=1")),IF($I$5="Apotek",SUM(SUMIFS(Database!$AO$4:$AO$1048576,Database!$AC$4:$AC$1048576,$I$3,Database!$AE$4:$AE$1048576,{"JK1","JK3","BDG","SMG","BGR","YOG","SLO","CRB","PWK","BKS","KDS","TGL","TSK","SKI","BD2"},Database!$AO$4:$AO$1048576,"=1",Database!$AG$4:$AG$1048576,"Apotek")),IF($I$5="Rumah Sakit",SUM(SUMIFS(Database!$AO$4:$AO$1048576,Database!$AC$4:$AC$1048576,$I$3,Database!$AE$4:$AE$1048576,{"JK1","JK3","BDG","SMG","BGR","YOG","SLO","CRB","PWK","BKS","KDS","TGL","TSK","SKI","BD2"},Database!$AO$4:$AO$1048576,"=1",Database!$AG$4:$AG$1048576,"Rumah sakit")),IF($I$5="Subdis",SUM(SUMIFS(Database!$AO$4:$AO$1048576,Database!$AC$4:$AC$1048576,$I$3,Database!$AE$4:$AE$1048576,{"JK1","JK3","BDG","SMG","BGR","YOG","SLO","CRB","PWK","BKS","KDS","TGL","TSK","SKI","BD2"},Database!$AO$4:$AO$1048576,"=1",Database!$AG$4:$AG$1048576,"Subdis")),0)))),IF($I$4="Timur",IF($I$5="All",SUM(SUMIFS(Database!$AO$4:$AO$1048576,Database!$AC$4:$AC$1048576,$I$3,Database!$AE$4:$AE$1048576,{"SB1","SB2","BMS","MKS","DPS","KDR","MLG","SMD","PTK","JBR","MNO","JPU","MTR","BPP","KPG","PLU"},Database!$AO$4:$AO$1048576,"=1")),IF($I$5="Apotek",SUM(SUMIFS(Database!$AO$4:$AO$1048576,Database!$AC$4:$AC$1048576,$I$3,Database!$AE$4:$AE$1048576,{"SB1","SB2","BMS","MKS","DPS","KDR","MLG","SMD","PTK","JBR","MNO","JPU","MTR","BPP","KPG","PLU"},Database!$AO$4:$AO$1048576,"=1",Database!$AG$4:$AG$1048576,"Apotek")),IF($I$5="Rumah Sakit",SUM(SUMIFS(Database!$AO$4:$AO$1048576,Database!$AC$4:$AC$1048576,$I$3,Database!$AE$4:$AE$1048576,{"SB1","SB2","BMS","MKS","DPS","KDR","MLG","SMD","PTK","JBR","MNO","JPU","MTR","BPP","KPG","PLU"},Database!$AO$4:$AO$1048576,"=1",Database!$AG$4:$AG$1048576,"Rumah sakit")),IF($I$5="Subdis",SUM(SUMIFS(Database!$AO$4:$AO$1048576,Database!$AC$4:$AC$1048576,$I$3,Database!$AE$4:$AE$1048576,{"SB1","SB2","BMS","MKS","DPS","KDR","MLG","SMD","PTK","JBR","MNO","JPU","MTR","BPP","KPG","PLU"},Database!$AO$4:$AO$1048576,"=1",Database!$AG$4:$AG$1048576,"Subdis")),0)))))))/$B$8</f>
        <v>0</v>
      </c>
      <c r="I16" s="23">
        <f>IF($I$4="Barat",IF($I$5="All",SUM(SUMIFS(Database!$AO$4:$AO$1048576,Database!$AC$4:$AC$1048576,$I$3,Database!$AE$4:$AE$1048576,{"JK2","MDN","TGR","PKB","PLB","BDL","PMS","PDG","BTM","BAC","JBI","PKP","BKL","LSE","PJT"},Database!$AO$4:$AO$1048576,"=2")),IF($I$5="Apotek",SUM(SUMIFS(Database!$AO$4:$AO$1048576,Database!$AC$4:$AC$1048576,$I$3,Database!$AE$4:$AE$1048576,{"JK2","MDN","TGR","PKB","PLB","BDL","PMS","PDG","BTM","BAC","JBI","PKP","BKL","LSE","PJT"},Database!$AO$4:$AO$1048576,"=2",Database!$AG$4:$AG$1048576,"Apotek")),IF($I$5="Rumah Sakit",SUM(SUMIFS(Database!$AO$4:$AO$1048576,Database!$AC$4:$AC$1048576,$I$3,Database!$AE$4:$AE$1048576,{"JK2","MDN","TGR","PKB","PLB","BDL","PMS","PDG","BTM","BAC","JBI","PKP","BKL","LSE","PJT"},Database!$AO$4:$AO$1048576,"=2",Database!$AG$4:$AG$1048576,"Rumah sakit")),IF($I$5="Subdis",SUM(SUMIFS(Database!$AO$4:$AO$1048576,Database!$AC$4:$AC$1048576,$I$3,Database!$AE$4:$AE$1048576,{"JK2","MDN","TGR","PKB","PLB","BDL","PMS","PDG","BTM","BAC","JBI","PKP","BKL","LSE","PJT"},Database!$AO$4:$AO$1048576,"=2",Database!$AG$4:$AG$1048576,"Subdis")),0)))),IF($I$4="Tengah",IF($I$5="All",SUM(SUMIFS(Database!$AO$4:$AO$1048576,Database!$AC$4:$AC$1048576,$I$3,Database!$AE$4:$AE$1048576,{"JK1","JK3","BDG","SMG","BGR","YOG","SLO","CRB","PWK","BKS","KDS","TGL","TSK","SKI","BD2"},Database!$AO$4:$AO$1048576,"=2")),IF($I$5="Apotek",SUM(SUMIFS(Database!$AO$4:$AO$1048576,Database!$AC$4:$AC$1048576,$I$3,Database!$AE$4:$AE$1048576,{"JK1","JK3","BDG","SMG","BGR","YOG","SLO","CRB","PWK","BKS","KDS","TGL","TSK","SKI","BD2"},Database!$AO$4:$AO$1048576,"=2",Database!$AG$4:$AG$1048576,"Apotek")),IF($I$5="Rumah Sakit",SUM(SUMIFS(Database!$AO$4:$AO$1048576,Database!$AC$4:$AC$1048576,$I$3,Database!$AE$4:$AE$1048576,{"JK1","JK3","BDG","SMG","BGR","YOG","SLO","CRB","PWK","BKS","KDS","TGL","TSK","SKI","BD2"},Database!$AO$4:$AO$1048576,"=2",Database!$AG$4:$AG$1048576,"Rumah sakit")),IF($I$5="Subdis",SUM(SUMIFS(Database!$AO$4:$AO$1048576,Database!$AC$4:$AC$1048576,$I$3,Database!$AE$4:$AE$1048576,{"JK1","JK3","BDG","SMG","BGR","YOG","SLO","CRB","PWK","BKS","KDS","TGL","TSK","SKI","BD2"},Database!$AO$4:$AO$1048576,"=2",Database!$AG$4:$AG$1048576,"Subdis")),0)))),IF($I$4="Timur",IF($I$5="All",SUM(SUMIFS(Database!$AO$4:$AO$1048576,Database!$AC$4:$AC$1048576,$I$3,Database!$AE$4:$AE$1048576,{"SB1","SB2","BMS","MKS","DPS","KDR","MLG","SMD","PTK","JBR","MNO","JPU","MTR","BPP","KPG","PLU"},Database!$AO$4:$AO$1048576,"=2")),IF($I$5="Apotek",SUM(SUMIFS(Database!$AO$4:$AO$1048576,Database!$AC$4:$AC$1048576,$I$3,Database!$AE$4:$AE$1048576,{"SB1","SB2","BMS","MKS","DPS","KDR","MLG","SMD","PTK","JBR","MNO","JPU","MTR","BPP","KPG","PLU"},Database!$AO$4:$AO$1048576,"=2",Database!$AG$4:$AG$1048576,"Apotek")),IF($I$5="Rumah Sakit",SUM(SUMIFS(Database!$AO$4:$AO$1048576,Database!$AC$4:$AC$1048576,$I$3,Database!$AE$4:$AE$1048576,{"SB1","SB2","BMS","MKS","DPS","KDR","MLG","SMD","PTK","JBR","MNO","JPU","MTR","BPP","KPG","PLU"},Database!$AO$4:$AO$1048576,"=2",Database!$AG$4:$AG$1048576,"Rumah sakit")),IF($I$5="Subdis",SUM(SUMIFS(Database!$AO$4:$AO$1048576,Database!$AC$4:$AC$1048576,$I$3,Database!$AE$4:$AE$1048576,{"SB1","SB2","BMS","MKS","DPS","KDR","MLG","SMD","PTK","JBR","MNO","JPU","MTR","BPP","KPG","PLU"},Database!$AO$4:$AO$1048576,"=2",Database!$AG$4:$AG$1048576,"Subdis")),0)))))))/$C$8</f>
        <v>0</v>
      </c>
      <c r="J16" s="23">
        <f>IF($I$4="Barat",IF($I$5="All",SUM(SUMIFS(Database!$AO$4:$AO$1048576,Database!$AC$4:$AC$1048576,$I$3,Database!$AE$4:$AE$1048576,{"JK2","MDN","TGR","PKB","PLB","BDL","PMS","PDG","BTM","BAC","JBI","PKP","BKL","LSE","PJT"},Database!$AO$4:$AO$1048576,"=3")),IF($I$5="Apotek",SUM(SUMIFS(Database!$AO$4:$AO$1048576,Database!$AC$4:$AC$1048576,$I$3,Database!$AE$4:$AE$1048576,{"JK2","MDN","TGR","PKB","PLB","BDL","PMS","PDG","BTM","BAC","JBI","PKP","BKL","LSE","PJT"},Database!$AO$4:$AO$1048576,"=3",Database!$AG$4:$AG$1048576,"Apotek")),IF($I$5="Rumah Sakit",SUM(SUMIFS(Database!$AO$4:$AO$1048576,Database!$AC$4:$AC$1048576,$I$3,Database!$AE$4:$AE$1048576,{"JK2","MDN","TGR","PKB","PLB","BDL","PMS","PDG","BTM","BAC","JBI","PKP","BKL","LSE","PJT"},Database!$AO$4:$AO$1048576,"=3",Database!$AG$4:$AG$1048576,"Rumah sakit")),IF($I$5="Subdis",SUM(SUMIFS(Database!$AO$4:$AO$1048576,Database!$AC$4:$AC$1048576,$I$3,Database!$AE$4:$AE$1048576,{"JK2","MDN","TGR","PKB","PLB","BDL","PMS","PDG","BTM","BAC","JBI","PKP","BKL","LSE","PJT"},Database!$AO$4:$AO$1048576,"=3",Database!$AG$4:$AG$1048576,"Subdis")),0)))),IF($I$4="Tengah",IF($I$5="All",SUM(SUMIFS(Database!$AO$4:$AO$1048576,Database!$AC$4:$AC$1048576,$I$3,Database!$AE$4:$AE$1048576,{"JK1","JK3","BDG","SMG","BGR","YOG","SLO","CRB","PWK","BKS","KDS","TGL","TSK","SKI","BD2"},Database!$AO$4:$AO$1048576,"=3")),IF($I$5="Apotek",SUM(SUMIFS(Database!$AO$4:$AO$1048576,Database!$AC$4:$AC$1048576,$I$3,Database!$AE$4:$AE$1048576,{"JK1","JK3","BDG","SMG","BGR","YOG","SLO","CRB","PWK","BKS","KDS","TGL","TSK","SKI","BD2"},Database!$AO$4:$AO$1048576,"=3",Database!$AG$4:$AG$1048576,"Apotek")),IF($I$5="Rumah Sakit",SUM(SUMIFS(Database!$AO$4:$AO$1048576,Database!$AC$4:$AC$1048576,$I$3,Database!$AE$4:$AE$1048576,{"JK1","JK3","BDG","SMG","BGR","YOG","SLO","CRB","PWK","BKS","KDS","TGL","TSK","SKI","BD2"},Database!$AO$4:$AO$1048576,"=3",Database!$AG$4:$AG$1048576,"Rumah sakit")),IF($I$5="Subdis",SUM(SUMIFS(Database!$AO$4:$AO$1048576,Database!$AC$4:$AC$1048576,$I$3,Database!$AE$4:$AE$1048576,{"JK1","JK3","BDG","SMG","BGR","YOG","SLO","CRB","PWK","BKS","KDS","TGL","TSK","SKI","BD2"},Database!$AO$4:$AO$1048576,"=3",Database!$AG$4:$AG$1048576,"Subdis")),0)))),IF($I$4="Timur",IF($I$5="All",SUM(SUMIFS(Database!$AO$4:$AO$1048576,Database!$AC$4:$AC$1048576,$I$3,Database!$AE$4:$AE$1048576,{"SB1","SB2","BMS","MKS","DPS","KDR","MLG","SMD","PTK","JBR","MNO","JPU","MTR","BPP","KPG","PLU"},Database!$AO$4:$AO$1048576,"=3")),IF($I$5="Apotek",SUM(SUMIFS(Database!$AO$4:$AO$1048576,Database!$AC$4:$AC$1048576,$I$3,Database!$AE$4:$AE$1048576,{"SB1","SB2","BMS","MKS","DPS","KDR","MLG","SMD","PTK","JBR","MNO","JPU","MTR","BPP","KPG","PLU"},Database!$AO$4:$AO$1048576,"=3",Database!$AG$4:$AG$1048576,"Apotek")),IF($I$5="Rumah Sakit",SUM(SUMIFS(Database!$AO$4:$AO$1048576,Database!$AC$4:$AC$1048576,$I$3,Database!$AE$4:$AE$1048576,{"SB1","SB2","BMS","MKS","DPS","KDR","MLG","SMD","PTK","JBR","MNO","JPU","MTR","BPP","KPG","PLU"},Database!$AO$4:$AO$1048576,"=3",Database!$AG$4:$AG$1048576,"Rumah sakit")),IF($I$5="Subdis",SUM(SUMIFS(Database!$AO$4:$AO$1048576,Database!$AC$4:$AC$1048576,$I$3,Database!$AE$4:$AE$1048576,{"SB1","SB2","BMS","MKS","DPS","KDR","MLG","SMD","PTK","JBR","MNO","JPU","MTR","BPP","KPG","PLU"},Database!$AO$4:$AO$1048576,"=3",Database!$AG$4:$AG$1048576,"Subdis")),0)))))))/$D$8</f>
        <v>0</v>
      </c>
      <c r="K16" s="23">
        <f>IF($I$4="Barat",IF($I$5="All",SUM(SUMIFS(Database!$AO$4:$AO$1048576,Database!$AC$4:$AC$1048576,$I$3,Database!$AE$4:$AE$1048576,{"JK2","MDN","TGR","PKB","PLB","BDL","PMS","PDG","BTM","BAC","JBI","PKP","BKL","LSE","PJT"},Database!$AO$4:$AO$1048576,"=4")),IF($I$5="Apotek",SUM(SUMIFS(Database!$AO$4:$AO$1048576,Database!$AC$4:$AC$1048576,$I$3,Database!$AE$4:$AE$1048576,{"JK2","MDN","TGR","PKB","PLB","BDL","PMS","PDG","BTM","BAC","JBI","PKP","BKL","LSE","PJT"},Database!$AO$4:$AO$1048576,"=4",Database!$AG$4:$AG$1048576,"Apotek")),IF($I$5="Rumah Sakit",SUM(SUMIFS(Database!$AO$4:$AO$1048576,Database!$AC$4:$AC$1048576,$I$3,Database!$AE$4:$AE$1048576,{"JK2","MDN","TGR","PKB","PLB","BDL","PMS","PDG","BTM","BAC","JBI","PKP","BKL","LSE","PJT"},Database!$AO$4:$AO$1048576,"=4",Database!$AG$4:$AG$1048576,"Rumah sakit")),IF($I$5="Subdis",SUM(SUMIFS(Database!$AO$4:$AO$1048576,Database!$AC$4:$AC$1048576,$I$3,Database!$AE$4:$AE$1048576,{"JK2","MDN","TGR","PKB","PLB","BDL","PMS","PDG","BTM","BAC","JBI","PKP","BKL","LSE","PJT"},Database!$AO$4:$AO$1048576,"=4",Database!$AG$4:$AG$1048576,"Subdis")),0)))),IF($I$4="Tengah",IF($I$5="All",SUM(SUMIFS(Database!$AO$4:$AO$1048576,Database!$AC$4:$AC$1048576,$I$3,Database!$AE$4:$AE$1048576,{"JK1","JK3","BDG","SMG","BGR","YOG","SLO","CRB","PWK","BKS","KDS","TGL","TSK","SKI","BD2"},Database!$AO$4:$AO$1048576,"=4")),IF($I$5="Apotek",SUM(SUMIFS(Database!$AO$4:$AO$1048576,Database!$AC$4:$AC$1048576,$I$3,Database!$AE$4:$AE$1048576,{"JK1","JK3","BDG","SMG","BGR","YOG","SLO","CRB","PWK","BKS","KDS","TGL","TSK","SKI","BD2"},Database!$AO$4:$AO$1048576,"=4",Database!$AG$4:$AG$1048576,"Apotek")),IF($I$5="Rumah Sakit",SUM(SUMIFS(Database!$AO$4:$AO$1048576,Database!$AC$4:$AC$1048576,$I$3,Database!$AE$4:$AE$1048576,{"JK1","JK3","BDG","SMG","BGR","YOG","SLO","CRB","PWK","BKS","KDS","TGL","TSK","SKI","BD2"},Database!$AO$4:$AO$1048576,"=4",Database!$AG$4:$AG$1048576,"Rumah sakit")),IF($I$5="Subdis",SUM(SUMIFS(Database!$AO$4:$AO$1048576,Database!$AC$4:$AC$1048576,$I$3,Database!$AE$4:$AE$1048576,{"JK1","JK3","BDG","SMG","BGR","YOG","SLO","CRB","PWK","BKS","KDS","TGL","TSK","SKI","BD2"},Database!$AO$4:$AO$1048576,"=4",Database!$AG$4:$AG$1048576,"Subdis")),0)))),IF($I$4="Timur",IF($I$5="All",SUM(SUMIFS(Database!$AO$4:$AO$1048576,Database!$AC$4:$AC$1048576,$I$3,Database!$AE$4:$AE$1048576,{"SB1","SB2","BMS","MKS","DPS","KDR","MLG","SMD","PTK","JBR","MNO","JPU","MTR","BPP","KPG","PLU"},Database!$AO$4:$AO$1048576,"=4")),IF($I$5="Apotek",SUM(SUMIFS(Database!$AO$4:$AO$1048576,Database!$AC$4:$AC$1048576,$I$3,Database!$AE$4:$AE$1048576,{"SB1","SB2","BMS","MKS","DPS","KDR","MLG","SMD","PTK","JBR","MNO","JPU","MTR","BPP","KPG","PLU"},Database!$AO$4:$AO$1048576,"=4",Database!$AG$4:$AG$1048576,"Apotek")),IF($I$5="Rumah Sakit",SUM(SUMIFS(Database!$AO$4:$AO$1048576,Database!$AC$4:$AC$1048576,$I$3,Database!$AE$4:$AE$1048576,{"SB1","SB2","BMS","MKS","DPS","KDR","MLG","SMD","PTK","JBR","MNO","JPU","MTR","BPP","KPG","PLU"},Database!$AO$4:$AO$1048576,"=4",Database!$AG$4:$AG$1048576,"Rumah sakit")),IF($I$5="Subdis",SUM(SUMIFS(Database!$AO$4:$AO$1048576,Database!$AC$4:$AC$1048576,$I$3,Database!$AE$4:$AE$1048576,{"SB1","SB2","BMS","MKS","DPS","KDR","MLG","SMD","PTK","JBR","MNO","JPU","MTR","BPP","KPG","PLU"},Database!$AO$4:$AO$1048576,"=4",Database!$AG$4:$AG$1048576,"Subdis")),0)))))))/$E$8</f>
        <v>0</v>
      </c>
      <c r="L16" s="9">
        <f t="shared" si="1"/>
        <v>0</v>
      </c>
      <c r="M16" s="10" t="e">
        <f t="shared" si="2"/>
        <v>#DIV/0!</v>
      </c>
      <c r="N16" s="10" t="e">
        <f t="shared" si="3"/>
        <v>#DIV/0!</v>
      </c>
      <c r="O16" s="32" t="e">
        <f t="shared" si="4"/>
        <v>#DIV/0!</v>
      </c>
      <c r="P16" s="12" t="s">
        <v>4</v>
      </c>
      <c r="Q16" s="32" t="e">
        <f t="shared" ref="Q16:Q19" si="12">RANK(N16,$N$15:$N$19,0)</f>
        <v>#DIV/0!</v>
      </c>
      <c r="R16" s="81" t="e">
        <f t="shared" si="6"/>
        <v>#DIV/0!</v>
      </c>
      <c r="S16" s="81" t="e">
        <f t="shared" si="7"/>
        <v>#DIV/0!</v>
      </c>
      <c r="T16" s="81" t="e">
        <f t="shared" ref="T16:T19" si="13">RANK(G16,$G$15:$G$19)</f>
        <v>#DIV/0!</v>
      </c>
      <c r="U16" s="81" t="e">
        <f t="shared" ref="U16:U19" si="14">RANK(M16,$M$15:$M$19)</f>
        <v>#DIV/0!</v>
      </c>
      <c r="V16" s="255"/>
    </row>
    <row r="17" spans="1:22" ht="18" x14ac:dyDescent="0.35">
      <c r="A17" s="9" t="s">
        <v>22</v>
      </c>
      <c r="B17" s="23">
        <f>IF($I$4="Barat",IF($I$5="All",SUM(SUMIFS(Database!$O$4:$O$1048576,Database!$B$4:$B$1048576,$I$3,Database!$D$4:$D$1048576,{"JK2","MDN","TGR","PKB","PLB","BDL","PMS","PDG","BTM","BAC","JBI","PKP","BKL","LSE","PJT"},Database!$O$4:$O$1048576,"=1")),IF($I$5="Apotek",SUM(SUMIFS(Database!$O$4:$O$1048576,Database!$B$4:$B$1048576,$I$3,Database!$D$4:$D$1048576,{"JK2","MDN","TGR","PKB","PLB","BDL","PMS","PDG","BTM","BAC","JBI","PKP","BKL","LSE","PJT"},Database!$O$4:$O$1048576,"=1",Database!$F$4:$F$1048576,"Apotek")),IF($I$5="Rumah Sakit",SUM(SUMIFS(Database!$O$4:$O$1048576,Database!$B$4:$B$1048576,$I$3,Database!$D$4:$D$1048576,{"JK2","MDN","TGR","PKB","PLB","BDL","PMS","PDG","BTM","BAC","JBI","PKP","BKL","LSE","PJT"},Database!$O$4:$O$1048576,"=1",Database!$F$4:$F$1048576,"Rumah sakit")),IF($I$5="Subdis",SUM(SUMIFS(Database!$O$4:$O$1048576,Database!$B$4:$B$1048576,$I$3,Database!$D$4:$D$1048576,{"JK2","MDN","TGR","PKB","PLB","BDL","PMS","PDG","BTM","BAC","JBI","PKP","BKL","LSE","PJT"},Database!$O$4:$O$1048576,"=1",Database!$F$4:$F$1048576,"Subdis")),0)))),IF($I$4="Tengah",IF($I$5="All",SUM(SUMIFS(Database!$O$4:$O$1048576,Database!$B$4:$B$1048576,$I$3,Database!$D$4:$D$1048576,{"JK1","JK3","BDG","SMG","BGR","YOG","SLO","CRB","PWK","BKS","KDS","TGL","TSK","SKI","BD2"},Database!$O$4:$O$1048576,"=1")),IF($I$5="Apotek",SUM(SUMIFS(Database!$O$4:$O$1048576,Database!$B$4:$B$1048576,$I$3,Database!$D$4:$D$1048576,{"JK1","JK3","BDG","SMG","BGR","YOG","SLO","CRB","PWK","BKS","KDS","TGL","TSK","SKI","BD2"},Database!$O$4:$O$1048576,"=1",Database!$F$4:$F$1048576,"Apotek")),IF($I$5="Rumah Sakit",SUM(SUMIFS(Database!$O$4:$O$1048576,Database!$B$4:$B$1048576,$I$3,Database!$D$4:$D$1048576,{"JK1","JK3","BDG","SMG","BGR","YOG","SLO","CRB","PWK","BKS","KDS","TGL","TSK","SKI","BD2"},Database!$O$4:$O$1048576,"=1",Database!$F$4:$F$1048576,"Rumah sakit")),IF($I$5="Subdis",SUM(SUMIFS(Database!$O$4:$O$1048576,Database!$B$4:$B$1048576,$I$3,Database!$D$4:$D$1048576,{"JK1","JK3","BDG","SMG","BGR","YOG","SLO","CRB","PWK","BKS","KDS","TGL","TSK","SKI","BD2"},Database!$O$4:$O$1048576,"=1",Database!$F$4:$F$1048576,"Subdis")),0)))),IF($I$4="Timur",IF($I$5="All",SUM(SUMIFS(Database!$O$4:$O$1048576,Database!$B$4:$B$1048576,$I$3,Database!$D$4:$D$1048576,{"SB1","SB2","BMS","MKS","DPS","KDR","MLG","SMD","PTK","JBR","MNO","JPU","MTR","BPP","KPG","PLU"},Database!$O$4:$O$1048576,"=1")),IF($I$5="Apotek",SUM(SUMIFS(Database!$O$4:$O$1048576,Database!$B$4:$B$1048576,$I$3,Database!$D$4:$D$1048576,{"SB1","SB2","BMS","MKS","DPS","KDR","MLG","SMD","PTK","JBR","MNO","JPU","MTR","BPP","KPG","PLU"},Database!$O$4:$O$1048576,"=1",Database!$F$4:$F$1048576,"Apotek")),IF($I$5="Rumah Sakit",SUM(SUMIFS(Database!$O$4:$O$1048576,Database!$B$4:$B$1048576,$I$3,Database!$D$4:$D$1048576,{"SB1","SB2","BMS","MKS","DPS","KDR","MLG","SMD","PTK","JBR","MNO","JPU","MTR","BPP","KPG","PLU"},Database!$O$4:$O$1048576,"=1",Database!$F$4:$F$1048576,"Rumah sakit")),IF($I$5="Subdis",SUM(SUMIFS(Database!$O$4:$O$1048576,Database!$B$4:$B$1048576,$I$3,Database!$D$4:$D$1048576,{"SB1","SB2","BMS","MKS","DPS","KDR","MLG","SMD","PTK","JBR","MNO","JPU","MTR","BPP","KPG","PLU"},Database!$O$4:$O$1048576,"=1",Database!$F$4:$F$1048576,"Subdis")),0)))))))/$B$8</f>
        <v>0</v>
      </c>
      <c r="C17" s="55">
        <f>IF($I$4="Barat",IF($I$5="All",SUM(SUMIFS(Database!$O$4:$O$1048576,Database!$B$4:$B$1048576,$I$3,Database!$D$4:$D$1048576,{"JK2","MDN","TGR","PKB","PLB","BDL","PMS","PDG","BTM","BAC","JBI","PKP","BKL","LSE","PJT"},Database!$O$4:$O$1048576,"=2")),IF($I$5="Apotek",SUM(SUMIFS(Database!$O$4:$O$1048576,Database!$B$4:$B$1048576,$I$3,Database!$D$4:$D$1048576,{"JK2","MDN","TGR","PKB","PLB","BDL","PMS","PDG","BTM","BAC","JBI","PKP","BKL","LSE","PJT"},Database!$O$4:$O$1048576,"=2",Database!$F$4:$F$1048576,"Apotek")),IF($I$5="Rumah Sakit",SUM(SUMIFS(Database!$O$4:$O$1048576,Database!$B$4:$B$1048576,$I$3,Database!$D$4:$D$1048576,{"JK2","MDN","TGR","PKB","PLB","BDL","PMS","PDG","BTM","BAC","JBI","PKP","BKL","LSE","PJT"},Database!$O$4:$O$1048576,"=2",Database!$F$4:$F$1048576,"Rumah sakit")),IF($I$5="Subdis",SUM(SUMIFS(Database!$O$4:$O$1048576,Database!$B$4:$B$1048576,$I$3,Database!$D$4:$D$1048576,{"JK2","MDN","TGR","PKB","PLB","BDL","PMS","PDG","BTM","BAC","JBI","PKP","BKL","LSE","PJT"},Database!$O$4:$O$1048576,"=2",Database!$F$4:$F$1048576,"Subdis")),0)))),IF($I$4="Tengah",IF($I$5="All",SUM(SUMIFS(Database!$O$4:$O$1048576,Database!$B$4:$B$1048576,$I$3,Database!$D$4:$D$1048576,{"JK1","JK3","BDG","SMG","BGR","YOG","SLO","CRB","PWK","BKS","KDS","TGL","TSK","SKI","BD2"},Database!$O$4:$O$1048576,"=2")),IF($I$5="Apotek",SUM(SUMIFS(Database!$O$4:$O$1048576,Database!$B$4:$B$1048576,$I$3,Database!$D$4:$D$1048576,{"JK1","JK3","BDG","SMG","BGR","YOG","SLO","CRB","PWK","BKS","KDS","TGL","TSK","SKI","BD2"},Database!$O$4:$O$1048576,"=2",Database!$F$4:$F$1048576,"Apotek")),IF($I$5="Rumah Sakit",SUM(SUMIFS(Database!$O$4:$O$1048576,Database!$B$4:$B$1048576,$I$3,Database!$D$4:$D$1048576,{"JK1","JK3","BDG","SMG","BGR","YOG","SLO","CRB","PWK","BKS","KDS","TGL","TSK","SKI","BD2"},Database!$O$4:$O$1048576,"=2",Database!$F$4:$F$1048576,"Rumah sakit")),IF($I$5="Subdis",SUM(SUMIFS(Database!$O$4:$O$1048576,Database!$B$4:$B$1048576,$I$3,Database!$D$4:$D$1048576,{"JK1","JK3","BDG","SMG","BGR","YOG","SLO","CRB","PWK","BKS","KDS","TGL","TSK","SKI","BD2"},Database!$O$4:$O$1048576,"=2",Database!$F$4:$F$1048576,"Subdis")),0)))),IF($I$4="Timur",IF($I$5="All",SUM(SUMIFS(Database!$O$4:$O$1048576,Database!$B$4:$B$1048576,$I$3,Database!$D$4:$D$1048576,{"SB1","SB2","BMS","MKS","DPS","KDR","MLG","SMD","PTK","JBR","MNO","JPU","MTR","BPP","KPG","PLU"},Database!$O$4:$O$1048576,"=2")),IF($I$5="Apotek",SUM(SUMIFS(Database!$O$4:$O$1048576,Database!$B$4:$B$1048576,$I$3,Database!$D$4:$D$1048576,{"SB1","SB2","BMS","MKS","DPS","KDR","MLG","SMD","PTK","JBR","MNO","JPU","MTR","BPP","KPG","PLU"},Database!$O$4:$O$1048576,"=2",Database!$F$4:$F$1048576,"Apotek")),IF($I$5="Rumah Sakit",SUM(SUMIFS(Database!$O$4:$O$1048576,Database!$B$4:$B$1048576,$I$3,Database!$D$4:$D$1048576,{"SB1","SB2","BMS","MKS","DPS","KDR","MLG","SMD","PTK","JBR","MNO","JPU","MTR","BPP","KPG","PLU"},Database!$O$4:$O$1048576,"=2",Database!$F$4:$F$1048576,"Rumah sakit")),IF($I$5="Subdis",SUM(SUMIFS(Database!$O$4:$O$1048576,Database!$B$4:$B$1048576,$I$3,Database!$D$4:$D$1048576,{"SB1","SB2","BMS","MKS","DPS","KDR","MLG","SMD","PTK","JBR","MNO","JPU","MTR","BPP","KPG","PLU"},Database!$O$4:$O$1048576,"=2",Database!$F$4:$F$1048576,"Subdis")),0)))))))/$C$8</f>
        <v>0</v>
      </c>
      <c r="D17" s="23">
        <f>IF($I$4="Barat",IF($I$5="All",SUM(SUMIFS(Database!$O$4:$O$1048576,Database!$B$4:$B$1048576,$I$3,Database!$D$4:$D$1048576,{"JK2","MDN","TGR","PKB","PLB","BDL","PMS","PDG","BTM","BAC","JBI","PKP","BKL","LSE","PJT"},Database!$O$4:$O$1048576,"=3")),IF($I$5="Apotek",SUM(SUMIFS(Database!$O$4:$O$1048576,Database!$B$4:$B$1048576,$I$3,Database!$D$4:$D$1048576,{"JK2","MDN","TGR","PKB","PLB","BDL","PMS","PDG","BTM","BAC","JBI","PKP","BKL","LSE","PJT"},Database!$O$4:$O$1048576,"=3",Database!$F$4:$F$1048576,"Apotek")),IF($I$5="Rumah Sakit",SUM(SUMIFS(Database!$O$4:$O$1048576,Database!$B$4:$B$1048576,$I$3,Database!$D$4:$D$1048576,{"JK2","MDN","TGR","PKB","PLB","BDL","PMS","PDG","BTM","BAC","JBI","PKP","BKL","LSE","PJT"},Database!$O$4:$O$1048576,"=3",Database!$F$4:$F$1048576,"Rumah sakit")),IF($I$5="Subdis",SUM(SUMIFS(Database!$O$4:$O$1048576,Database!$B$4:$B$1048576,$I$3,Database!$D$4:$D$1048576,{"JK2","MDN","TGR","PKB","PLB","BDL","PMS","PDG","BTM","BAC","JBI","PKP","BKL","LSE","PJT"},Database!$O$4:$O$1048576,"=3",Database!$F$4:$F$1048576,"Subdis")),0)))),IF($I$4="Tengah",IF($I$5="All",SUM(SUMIFS(Database!$O$4:$O$1048576,Database!$B$4:$B$1048576,$I$3,Database!$D$4:$D$1048576,{"JK1","JK3","BDG","SMG","BGR","YOG","SLO","CRB","PWK","BKS","KDS","TGL","TSK","SKI","BD2"},Database!$O$4:$O$1048576,"=3")),IF($I$5="Apotek",SUM(SUMIFS(Database!$O$4:$O$1048576,Database!$B$4:$B$1048576,$I$3,Database!$D$4:$D$1048576,{"JK1","JK3","BDG","SMG","BGR","YOG","SLO","CRB","PWK","BKS","KDS","TGL","TSK","SKI","BD2"},Database!$O$4:$O$1048576,"=3",Database!$F$4:$F$1048576,"Apotek")),IF($I$5="Rumah Sakit",SUM(SUMIFS(Database!$O$4:$O$1048576,Database!$B$4:$B$1048576,$I$3,Database!$D$4:$D$1048576,{"JK1","JK3","BDG","SMG","BGR","YOG","SLO","CRB","PWK","BKS","KDS","TGL","TSK","SKI","BD2"},Database!$O$4:$O$1048576,"=3",Database!$F$4:$F$1048576,"Rumah sakit")),IF($I$5="Subdis",SUM(SUMIFS(Database!$O$4:$O$1048576,Database!$B$4:$B$1048576,$I$3,Database!$D$4:$D$1048576,{"JK1","JK3","BDG","SMG","BGR","YOG","SLO","CRB","PWK","BKS","KDS","TGL","TSK","SKI","BD2"},Database!$O$4:$O$1048576,"=3",Database!$F$4:$F$1048576,"Subdis")),0)))),IF($I$4="Timur",IF($I$5="All",SUM(SUMIFS(Database!$O$4:$O$1048576,Database!$B$4:$B$1048576,$I$3,Database!$D$4:$D$1048576,{"SB1","SB2","BMS","MKS","DPS","KDR","MLG","SMD","PTK","JBR","MNO","JPU","MTR","BPP","KPG","PLU"},Database!$O$4:$O$1048576,"=3")),IF($I$5="Apotek",SUM(SUMIFS(Database!$O$4:$O$1048576,Database!$B$4:$B$1048576,$I$3,Database!$D$4:$D$1048576,{"SB1","SB2","BMS","MKS","DPS","KDR","MLG","SMD","PTK","JBR","MNO","JPU","MTR","BPP","KPG","PLU"},Database!$O$4:$O$1048576,"=3",Database!$F$4:$F$1048576,"Apotek")),IF($I$5="Rumah Sakit",SUM(SUMIFS(Database!$O$4:$O$1048576,Database!$B$4:$B$1048576,$I$3,Database!$D$4:$D$1048576,{"SB1","SB2","BMS","MKS","DPS","KDR","MLG","SMD","PTK","JBR","MNO","JPU","MTR","BPP","KPG","PLU"},Database!$O$4:$O$1048576,"=3",Database!$F$4:$F$1048576,"Rumah sakit")),IF($I$5="Subdis",SUM(SUMIFS(Database!$O$4:$O$1048576,Database!$B$4:$B$1048576,$I$3,Database!$D$4:$D$1048576,{"SB1","SB2","BMS","MKS","DPS","KDR","MLG","SMD","PTK","JBR","MNO","JPU","MTR","BPP","KPG","PLU"},Database!$O$4:$O$1048576,"=3",Database!$F$4:$F$1048576,"Subdis")),0)))))))/$D$8</f>
        <v>0</v>
      </c>
      <c r="E17" s="23">
        <f>IF($I$4="Barat",IF($I$5="All",SUM(SUMIFS(Database!$O$4:$O$1048576,Database!$B$4:$B$1048576,$I$3,Database!$D$4:$D$1048576,{"JK2","MDN","TGR","PKB","PLB","BDL","PMS","PDG","BTM","BAC","JBI","PKP","BKL","LSE","PJT"},Database!$O$4:$O$1048576,"=4")),IF($I$5="Apotek",SUM(SUMIFS(Database!$O$4:$O$1048576,Database!$B$4:$B$1048576,$I$3,Database!$D$4:$D$1048576,{"JK2","MDN","TGR","PKB","PLB","BDL","PMS","PDG","BTM","BAC","JBI","PKP","BKL","LSE","PJT"},Database!$O$4:$O$1048576,"=4",Database!$F$4:$F$1048576,"Apotek")),IF($I$5="Rumah Sakit",SUM(SUMIFS(Database!$O$4:$O$1048576,Database!$B$4:$B$1048576,$I$3,Database!$D$4:$D$1048576,{"JK2","MDN","TGR","PKB","PLB","BDL","PMS","PDG","BTM","BAC","JBI","PKP","BKL","LSE","PJT"},Database!$O$4:$O$1048576,"=4",Database!$F$4:$F$1048576,"Rumah sakit")),IF($I$5="Subdis",SUM(SUMIFS(Database!$O$4:$O$1048576,Database!$B$4:$B$1048576,$I$3,Database!$D$4:$D$1048576,{"JK2","MDN","TGR","PKB","PLB","BDL","PMS","PDG","BTM","BAC","JBI","PKP","BKL","LSE","PJT"},Database!$O$4:$O$1048576,"=4",Database!$F$4:$F$1048576,"Subdis")),0)))),IF($I$4="Tengah",IF($I$5="All",SUM(SUMIFS(Database!$O$4:$O$1048576,Database!$B$4:$B$1048576,$I$3,Database!$D$4:$D$1048576,{"JK1","JK3","BDG","SMG","BGR","YOG","SLO","CRB","PWK","BKS","KDS","TGL","TSK","SKI","BD2"},Database!$O$4:$O$1048576,"=4")),IF($I$5="Apotek",SUM(SUMIFS(Database!$O$4:$O$1048576,Database!$B$4:$B$1048576,$I$3,Database!$D$4:$D$1048576,{"JK1","JK3","BDG","SMG","BGR","YOG","SLO","CRB","PWK","BKS","KDS","TGL","TSK","SKI","BD2"},Database!$O$4:$O$1048576,"=4",Database!$F$4:$F$1048576,"Apotek")),IF($I$5="Rumah Sakit",SUM(SUMIFS(Database!$O$4:$O$1048576,Database!$B$4:$B$1048576,$I$3,Database!$D$4:$D$1048576,{"JK1","JK3","BDG","SMG","BGR","YOG","SLO","CRB","PWK","BKS","KDS","TGL","TSK","SKI","BD2"},Database!$O$4:$O$1048576,"=4",Database!$F$4:$F$1048576,"Rumah sakit")),IF($I$5="Subdis",SUM(SUMIFS(Database!$O$4:$O$1048576,Database!$B$4:$B$1048576,$I$3,Database!$D$4:$D$1048576,{"JK1","JK3","BDG","SMG","BGR","YOG","SLO","CRB","PWK","BKS","KDS","TGL","TSK","SKI","BD2"},Database!$O$4:$O$1048576,"=4",Database!$F$4:$F$1048576,"Subdis")),0)))),IF($I$4="Timur",IF($I$5="All",SUM(SUMIFS(Database!$O$4:$O$1048576,Database!$B$4:$B$1048576,$I$3,Database!$D$4:$D$1048576,{"SB1","SB2","BMS","MKS","DPS","KDR","MLG","SMD","PTK","JBR","MNO","JPU","MTR","BPP","KPG","PLU"},Database!$O$4:$O$1048576,"=4")),IF($I$5="Apotek",SUM(SUMIFS(Database!$O$4:$O$1048576,Database!$B$4:$B$1048576,$I$3,Database!$D$4:$D$1048576,{"SB1","SB2","BMS","MKS","DPS","KDR","MLG","SMD","PTK","JBR","MNO","JPU","MTR","BPP","KPG","PLU"},Database!$O$4:$O$1048576,"=4",Database!$F$4:$F$1048576,"Apotek")),IF($I$5="Rumah Sakit",SUM(SUMIFS(Database!$O$4:$O$1048576,Database!$B$4:$B$1048576,$I$3,Database!$D$4:$D$1048576,{"SB1","SB2","BMS","MKS","DPS","KDR","MLG","SMD","PTK","JBR","MNO","JPU","MTR","BPP","KPG","PLU"},Database!$O$4:$O$1048576,"=4",Database!$F$4:$F$1048576,"Rumah sakit")),IF($I$5="Subdis",SUM(SUMIFS(Database!$O$4:$O$1048576,Database!$B$4:$B$1048576,$I$3,Database!$D$4:$D$1048576,{"SB1","SB2","BMS","MKS","DPS","KDR","MLG","SMD","PTK","JBR","MNO","JPU","MTR","BPP","KPG","PLU"},Database!$O$4:$O$1048576,"=4",Database!$F$4:$F$1048576,"Subdis")),0)))))))/$E$8</f>
        <v>0</v>
      </c>
      <c r="F17" s="9">
        <f t="shared" si="0"/>
        <v>0</v>
      </c>
      <c r="G17" s="10" t="e">
        <f t="shared" si="10"/>
        <v>#DIV/0!</v>
      </c>
      <c r="H17" s="23">
        <f>IF($I$4="Barat",IF($I$5="All",SUM(SUMIFS(Database!$AP$4:$AP$1048576,Database!$AC$4:$AC$1048576,$I$3,Database!$AE$4:$AE$1048576,{"JK2","MDN","TGR","PKB","PLB","BDL","PMS","PDG","BTM","BAC","JBI","PKP","BKL","LSE","PJT"},Database!$AP$4:$AP$1048576,"=1")),IF($I$5="Apotek",SUM(SUMIFS(Database!$AP$4:$AP$1048576,Database!$AC$4:$AC$1048576,$I$3,Database!$AE$4:$AE$1048576,{"JK2","MDN","TGR","PKB","PLB","BDL","PMS","PDG","BTM","BAC","JBI","PKP","BKL","LSE","PJT"},Database!$AP$4:$AP$1048576,"=1",Database!$AG$4:$AG$1048576,"Apotek")),IF($I$5="Rumah Sakit",SUM(SUMIFS(Database!$AP$4:$AP$1048576,Database!$AC$4:$AC$1048576,$I$3,Database!$AE$4:$AE$1048576,{"JK2","MDN","TGR","PKB","PLB","BDL","PMS","PDG","BTM","BAC","JBI","PKP","BKL","LSE","PJT"},Database!$AP$4:$AP$1048576,"=1",Database!$AG$4:$AG$1048576,"Rumah sakit")),IF($I$5="Subdis",SUM(SUMIFS(Database!$AP$4:$AP$1048576,Database!$AC$4:$AC$1048576,$I$3,Database!$AE$4:$AE$1048576,{"JK2","MDN","TGR","PKB","PLB","BDL","PMS","PDG","BTM","BAC","JBI","PKP","BKL","LSE","PJT"},Database!$AP$4:$AP$1048576,"=1",Database!$AG$4:$AG$1048576,"Subdis")),0)))),IF($I$4="Tengah",IF($I$5="All",SUM(SUMIFS(Database!$AP$4:$AP$1048576,Database!$AC$4:$AC$1048576,$I$3,Database!$AE$4:$AE$1048576,{"JK1","JK3","BDG","SMG","BGR","YOG","SLO","CRB","PWK","BKS","KDS","TGL","TSK","SKI","BD2"},Database!$AP$4:$AP$1048576,"=1")),IF($I$5="Apotek",SUM(SUMIFS(Database!$AP$4:$AP$1048576,Database!$AC$4:$AC$1048576,$I$3,Database!$AE$4:$AE$1048576,{"JK1","JK3","BDG","SMG","BGR","YOG","SLO","CRB","PWK","BKS","KDS","TGL","TSK","SKI","BD2"},Database!$AP$4:$AP$1048576,"=1",Database!$AG$4:$AG$1048576,"Apotek")),IF($I$5="Rumah Sakit",SUM(SUMIFS(Database!$AP$4:$AP$1048576,Database!$AC$4:$AC$1048576,$I$3,Database!$AE$4:$AE$1048576,{"JK1","JK3","BDG","SMG","BGR","YOG","SLO","CRB","PWK","BKS","KDS","TGL","TSK","SKI","BD2"},Database!$AP$4:$AP$1048576,"=1",Database!$AG$4:$AG$1048576,"Rumah sakit")),IF($I$5="Subdis",SUM(SUMIFS(Database!$AP$4:$AP$1048576,Database!$AC$4:$AC$1048576,$I$3,Database!$AE$4:$AE$1048576,{"JK1","JK3","BDG","SMG","BGR","YOG","SLO","CRB","PWK","BKS","KDS","TGL","TSK","SKI","BD2"},Database!$AP$4:$AP$1048576,"=1",Database!$AG$4:$AG$1048576,"Subdis")),0)))),IF($I$4="Timur",IF($I$5="All",SUM(SUMIFS(Database!$AP$4:$AP$1048576,Database!$AC$4:$AC$1048576,$I$3,Database!$AE$4:$AE$1048576,{"SB1","SB2","BMS","MKS","DPS","KDR","MLG","SMD","PTK","JBR","MNO","JPU","MTR","BPP","KPG","PLU"},Database!$AP$4:$AP$1048576,"=1")),IF($I$5="Apotek",SUM(SUMIFS(Database!$AP$4:$AP$1048576,Database!$AC$4:$AC$1048576,$I$3,Database!$AE$4:$AE$1048576,{"SB1","SB2","BMS","MKS","DPS","KDR","MLG","SMD","PTK","JBR","MNO","JPU","MTR","BPP","KPG","PLU"},Database!$AP$4:$AP$1048576,"=1",Database!$AG$4:$AG$1048576,"Apotek")),IF($I$5="Rumah Sakit",SUM(SUMIFS(Database!$AP$4:$AP$1048576,Database!$AC$4:$AC$1048576,$I$3,Database!$AE$4:$AE$1048576,{"SB1","SB2","BMS","MKS","DPS","KDR","MLG","SMD","PTK","JBR","MNO","JPU","MTR","BPP","KPG","PLU"},Database!$AP$4:$AP$1048576,"=1",Database!$AG$4:$AG$1048576,"Rumah sakit")),IF($I$5="Subdis",SUM(SUMIFS(Database!$AP$4:$AP$1048576,Database!$AC$4:$AC$1048576,$I$3,Database!$AE$4:$AE$1048576,{"SB1","SB2","BMS","MKS","DPS","KDR","MLG","SMD","PTK","JBR","MNO","JPU","MTR","BPP","KPG","PLU"},Database!$AP$4:$AP$1048576,"=1",Database!$AG$4:$AG$1048576,"Subdis")),0)))))))/$B$8</f>
        <v>0</v>
      </c>
      <c r="I17" s="23">
        <f>IF($I$4="Barat",IF($I$5="All",SUM(SUMIFS(Database!$AP$4:$AP$1048576,Database!$AC$4:$AC$1048576,$I$3,Database!$AE$4:$AE$1048576,{"JK2","MDN","TGR","PKB","PLB","BDL","PMS","PDG","BTM","BAC","JBI","PKP","BKL","LSE","PJT"},Database!$AP$4:$AP$1048576,"=2")),IF($I$5="Apotek",SUM(SUMIFS(Database!$AP$4:$AP$1048576,Database!$AC$4:$AC$1048576,$I$3,Database!$AE$4:$AE$1048576,{"JK2","MDN","TGR","PKB","PLB","BDL","PMS","PDG","BTM","BAC","JBI","PKP","BKL","LSE","PJT"},Database!$AP$4:$AP$1048576,"=2",Database!$AG$4:$AG$1048576,"Apotek")),IF($I$5="Rumah Sakit",SUM(SUMIFS(Database!$AP$4:$AP$1048576,Database!$AC$4:$AC$1048576,$I$3,Database!$AE$4:$AE$1048576,{"JK2","MDN","TGR","PKB","PLB","BDL","PMS","PDG","BTM","BAC","JBI","PKP","BKL","LSE","PJT"},Database!$AP$4:$AP$1048576,"=2",Database!$AG$4:$AG$1048576,"Rumah sakit")),IF($I$5="Subdis",SUM(SUMIFS(Database!$AP$4:$AP$1048576,Database!$AC$4:$AC$1048576,$I$3,Database!$AE$4:$AE$1048576,{"JK2","MDN","TGR","PKB","PLB","BDL","PMS","PDG","BTM","BAC","JBI","PKP","BKL","LSE","PJT"},Database!$AP$4:$AP$1048576,"=2",Database!$AG$4:$AG$1048576,"Subdis")),0)))),IF($I$4="Tengah",IF($I$5="All",SUM(SUMIFS(Database!$AP$4:$AP$1048576,Database!$AC$4:$AC$1048576,$I$3,Database!$AE$4:$AE$1048576,{"JK1","JK3","BDG","SMG","BGR","YOG","SLO","CRB","PWK","BKS","KDS","TGL","TSK","SKI","BD2"},Database!$AP$4:$AP$1048576,"=2")),IF($I$5="Apotek",SUM(SUMIFS(Database!$AP$4:$AP$1048576,Database!$AC$4:$AC$1048576,$I$3,Database!$AE$4:$AE$1048576,{"JK1","JK3","BDG","SMG","BGR","YOG","SLO","CRB","PWK","BKS","KDS","TGL","TSK","SKI","BD2"},Database!$AP$4:$AP$1048576,"=2",Database!$AG$4:$AG$1048576,"Apotek")),IF($I$5="Rumah Sakit",SUM(SUMIFS(Database!$AP$4:$AP$1048576,Database!$AC$4:$AC$1048576,$I$3,Database!$AE$4:$AE$1048576,{"JK1","JK3","BDG","SMG","BGR","YOG","SLO","CRB","PWK","BKS","KDS","TGL","TSK","SKI","BD2"},Database!$AP$4:$AP$1048576,"=2",Database!$AG$4:$AG$1048576,"Rumah sakit")),IF($I$5="Subdis",SUM(SUMIFS(Database!$AP$4:$AP$1048576,Database!$AC$4:$AC$1048576,$I$3,Database!$AE$4:$AE$1048576,{"JK1","JK3","BDG","SMG","BGR","YOG","SLO","CRB","PWK","BKS","KDS","TGL","TSK","SKI","BD2"},Database!$AP$4:$AP$1048576,"=2",Database!$AG$4:$AG$1048576,"Subdis")),0)))),IF($I$4="Timur",IF($I$5="All",SUM(SUMIFS(Database!$AP$4:$AP$1048576,Database!$AC$4:$AC$1048576,$I$3,Database!$AE$4:$AE$1048576,{"SB1","SB2","BMS","MKS","DPS","KDR","MLG","SMD","PTK","JBR","MNO","JPU","MTR","BPP","KPG","PLU"},Database!$AP$4:$AP$1048576,"=2")),IF($I$5="Apotek",SUM(SUMIFS(Database!$AP$4:$AP$1048576,Database!$AC$4:$AC$1048576,$I$3,Database!$AE$4:$AE$1048576,{"SB1","SB2","BMS","MKS","DPS","KDR","MLG","SMD","PTK","JBR","MNO","JPU","MTR","BPP","KPG","PLU"},Database!$AP$4:$AP$1048576,"=2",Database!$AG$4:$AG$1048576,"Apotek")),IF($I$5="Rumah Sakit",SUM(SUMIFS(Database!$AP$4:$AP$1048576,Database!$AC$4:$AC$1048576,$I$3,Database!$AE$4:$AE$1048576,{"SB1","SB2","BMS","MKS","DPS","KDR","MLG","SMD","PTK","JBR","MNO","JPU","MTR","BPP","KPG","PLU"},Database!$AP$4:$AP$1048576,"=2",Database!$AG$4:$AG$1048576,"Rumah sakit")),IF($I$5="Subdis",SUM(SUMIFS(Database!$AP$4:$AP$1048576,Database!$AC$4:$AC$1048576,$I$3,Database!$AE$4:$AE$1048576,{"SB1","SB2","BMS","MKS","DPS","KDR","MLG","SMD","PTK","JBR","MNO","JPU","MTR","BPP","KPG","PLU"},Database!$AP$4:$AP$1048576,"=2",Database!$AG$4:$AG$1048576,"Subdis")),0)))))))/$C$8</f>
        <v>0</v>
      </c>
      <c r="J17" s="23">
        <f>IF($I$4="Barat",IF($I$5="All",SUM(SUMIFS(Database!$AP$4:$AP$1048576,Database!$AC$4:$AC$1048576,$I$3,Database!$AE$4:$AE$1048576,{"JK2","MDN","TGR","PKB","PLB","BDL","PMS","PDG","BTM","BAC","JBI","PKP","BKL","LSE","PJT"},Database!$AP$4:$AP$1048576,"=3")),IF($I$5="Apotek",SUM(SUMIFS(Database!$AP$4:$AP$1048576,Database!$AC$4:$AC$1048576,$I$3,Database!$AE$4:$AE$1048576,{"JK2","MDN","TGR","PKB","PLB","BDL","PMS","PDG","BTM","BAC","JBI","PKP","BKL","LSE","PJT"},Database!$AP$4:$AP$1048576,"=3",Database!$AG$4:$AG$1048576,"Apotek")),IF($I$5="Rumah Sakit",SUM(SUMIFS(Database!$AP$4:$AP$1048576,Database!$AC$4:$AC$1048576,$I$3,Database!$AE$4:$AE$1048576,{"JK2","MDN","TGR","PKB","PLB","BDL","PMS","PDG","BTM","BAC","JBI","PKP","BKL","LSE","PJT"},Database!$AP$4:$AP$1048576,"=3",Database!$AG$4:$AG$1048576,"Rumah sakit")),IF($I$5="Subdis",SUM(SUMIFS(Database!$AP$4:$AP$1048576,Database!$AC$4:$AC$1048576,$I$3,Database!$AE$4:$AE$1048576,{"JK2","MDN","TGR","PKB","PLB","BDL","PMS","PDG","BTM","BAC","JBI","PKP","BKL","LSE","PJT"},Database!$AP$4:$AP$1048576,"=3",Database!$AG$4:$AG$1048576,"Subdis")),0)))),IF($I$4="Tengah",IF($I$5="All",SUM(SUMIFS(Database!$AP$4:$AP$1048576,Database!$AC$4:$AC$1048576,$I$3,Database!$AE$4:$AE$1048576,{"JK1","JK3","BDG","SMG","BGR","YOG","SLO","CRB","PWK","BKS","KDS","TGL","TSK","SKI","BD2"},Database!$AP$4:$AP$1048576,"=3")),IF($I$5="Apotek",SUM(SUMIFS(Database!$AP$4:$AP$1048576,Database!$AC$4:$AC$1048576,$I$3,Database!$AE$4:$AE$1048576,{"JK1","JK3","BDG","SMG","BGR","YOG","SLO","CRB","PWK","BKS","KDS","TGL","TSK","SKI","BD2"},Database!$AP$4:$AP$1048576,"=3",Database!$AG$4:$AG$1048576,"Apotek")),IF($I$5="Rumah Sakit",SUM(SUMIFS(Database!$AP$4:$AP$1048576,Database!$AC$4:$AC$1048576,$I$3,Database!$AE$4:$AE$1048576,{"JK1","JK3","BDG","SMG","BGR","YOG","SLO","CRB","PWK","BKS","KDS","TGL","TSK","SKI","BD2"},Database!$AP$4:$AP$1048576,"=3",Database!$AG$4:$AG$1048576,"Rumah sakit")),IF($I$5="Subdis",SUM(SUMIFS(Database!$AP$4:$AP$1048576,Database!$AC$4:$AC$1048576,$I$3,Database!$AE$4:$AE$1048576,{"JK1","JK3","BDG","SMG","BGR","YOG","SLO","CRB","PWK","BKS","KDS","TGL","TSK","SKI","BD2"},Database!$AP$4:$AP$1048576,"=3",Database!$AG$4:$AG$1048576,"Subdis")),0)))),IF($I$4="Timur",IF($I$5="All",SUM(SUMIFS(Database!$AP$4:$AP$1048576,Database!$AC$4:$AC$1048576,$I$3,Database!$AE$4:$AE$1048576,{"SB1","SB2","BMS","MKS","DPS","KDR","MLG","SMD","PTK","JBR","MNO","JPU","MTR","BPP","KPG","PLU"},Database!$AP$4:$AP$1048576,"=3")),IF($I$5="Apotek",SUM(SUMIFS(Database!$AP$4:$AP$1048576,Database!$AC$4:$AC$1048576,$I$3,Database!$AE$4:$AE$1048576,{"SB1","SB2","BMS","MKS","DPS","KDR","MLG","SMD","PTK","JBR","MNO","JPU","MTR","BPP","KPG","PLU"},Database!$AP$4:$AP$1048576,"=3",Database!$AG$4:$AG$1048576,"Apotek")),IF($I$5="Rumah Sakit",SUM(SUMIFS(Database!$AP$4:$AP$1048576,Database!$AC$4:$AC$1048576,$I$3,Database!$AE$4:$AE$1048576,{"SB1","SB2","BMS","MKS","DPS","KDR","MLG","SMD","PTK","JBR","MNO","JPU","MTR","BPP","KPG","PLU"},Database!$AP$4:$AP$1048576,"=3",Database!$AG$4:$AG$1048576,"Rumah sakit")),IF($I$5="Subdis",SUM(SUMIFS(Database!$AP$4:$AP$1048576,Database!$AC$4:$AC$1048576,$I$3,Database!$AE$4:$AE$1048576,{"SB1","SB2","BMS","MKS","DPS","KDR","MLG","SMD","PTK","JBR","MNO","JPU","MTR","BPP","KPG","PLU"},Database!$AP$4:$AP$1048576,"=3",Database!$AG$4:$AG$1048576,"Subdis")),0)))))))/$D$8</f>
        <v>0</v>
      </c>
      <c r="K17" s="23">
        <f>IF($I$4="Barat",IF($I$5="All",SUM(SUMIFS(Database!$AP$4:$AP$1048576,Database!$AC$4:$AC$1048576,$I$3,Database!$AE$4:$AE$1048576,{"JK2","MDN","TGR","PKB","PLB","BDL","PMS","PDG","BTM","BAC","JBI","PKP","BKL","LSE","PJT"},Database!$AP$4:$AP$1048576,"=4")),IF($I$5="Apotek",SUM(SUMIFS(Database!$AP$4:$AP$1048576,Database!$AC$4:$AC$1048576,$I$3,Database!$AE$4:$AE$1048576,{"JK2","MDN","TGR","PKB","PLB","BDL","PMS","PDG","BTM","BAC","JBI","PKP","BKL","LSE","PJT"},Database!$AP$4:$AP$1048576,"=4",Database!$AG$4:$AG$1048576,"Apotek")),IF($I$5="Rumah Sakit",SUM(SUMIFS(Database!$AP$4:$AP$1048576,Database!$AC$4:$AC$1048576,$I$3,Database!$AE$4:$AE$1048576,{"JK2","MDN","TGR","PKB","PLB","BDL","PMS","PDG","BTM","BAC","JBI","PKP","BKL","LSE","PJT"},Database!$AP$4:$AP$1048576,"=4",Database!$AG$4:$AG$1048576,"Rumah sakit")),IF($I$5="Subdis",SUM(SUMIFS(Database!$AP$4:$AP$1048576,Database!$AC$4:$AC$1048576,$I$3,Database!$AE$4:$AE$1048576,{"JK2","MDN","TGR","PKB","PLB","BDL","PMS","PDG","BTM","BAC","JBI","PKP","BKL","LSE","PJT"},Database!$AP$4:$AP$1048576,"=4",Database!$AG$4:$AG$1048576,"Subdis")),0)))),IF($I$4="Tengah",IF($I$5="All",SUM(SUMIFS(Database!$AP$4:$AP$1048576,Database!$AC$4:$AC$1048576,$I$3,Database!$AE$4:$AE$1048576,{"JK1","JK3","BDG","SMG","BGR","YOG","SLO","CRB","PWK","BKS","KDS","TGL","TSK","SKI","BD2"},Database!$AP$4:$AP$1048576,"=4")),IF($I$5="Apotek",SUM(SUMIFS(Database!$AP$4:$AP$1048576,Database!$AC$4:$AC$1048576,$I$3,Database!$AE$4:$AE$1048576,{"JK1","JK3","BDG","SMG","BGR","YOG","SLO","CRB","PWK","BKS","KDS","TGL","TSK","SKI","BD2"},Database!$AP$4:$AP$1048576,"=4",Database!$AG$4:$AG$1048576,"Apotek")),IF($I$5="Rumah Sakit",SUM(SUMIFS(Database!$AP$4:$AP$1048576,Database!$AC$4:$AC$1048576,$I$3,Database!$AE$4:$AE$1048576,{"JK1","JK3","BDG","SMG","BGR","YOG","SLO","CRB","PWK","BKS","KDS","TGL","TSK","SKI","BD2"},Database!$AP$4:$AP$1048576,"=4",Database!$AG$4:$AG$1048576,"Rumah sakit")),IF($I$5="Subdis",SUM(SUMIFS(Database!$AP$4:$AP$1048576,Database!$AC$4:$AC$1048576,$I$3,Database!$AE$4:$AE$1048576,{"JK1","JK3","BDG","SMG","BGR","YOG","SLO","CRB","PWK","BKS","KDS","TGL","TSK","SKI","BD2"},Database!$AP$4:$AP$1048576,"=4",Database!$AG$4:$AG$1048576,"Subdis")),0)))),IF($I$4="Timur",IF($I$5="All",SUM(SUMIFS(Database!$AP$4:$AP$1048576,Database!$AC$4:$AC$1048576,$I$3,Database!$AE$4:$AE$1048576,{"SB1","SB2","BMS","MKS","DPS","KDR","MLG","SMD","PTK","JBR","MNO","JPU","MTR","BPP","KPG","PLU"},Database!$AP$4:$AP$1048576,"=4")),IF($I$5="Apotek",SUM(SUMIFS(Database!$AP$4:$AP$1048576,Database!$AC$4:$AC$1048576,$I$3,Database!$AE$4:$AE$1048576,{"SB1","SB2","BMS","MKS","DPS","KDR","MLG","SMD","PTK","JBR","MNO","JPU","MTR","BPP","KPG","PLU"},Database!$AP$4:$AP$1048576,"=4",Database!$AG$4:$AG$1048576,"Apotek")),IF($I$5="Rumah Sakit",SUM(SUMIFS(Database!$AP$4:$AP$1048576,Database!$AC$4:$AC$1048576,$I$3,Database!$AE$4:$AE$1048576,{"SB1","SB2","BMS","MKS","DPS","KDR","MLG","SMD","PTK","JBR","MNO","JPU","MTR","BPP","KPG","PLU"},Database!$AP$4:$AP$1048576,"=4",Database!$AG$4:$AG$1048576,"Rumah sakit")),IF($I$5="Subdis",SUM(SUMIFS(Database!$AP$4:$AP$1048576,Database!$AC$4:$AC$1048576,$I$3,Database!$AE$4:$AE$1048576,{"SB1","SB2","BMS","MKS","DPS","KDR","MLG","SMD","PTK","JBR","MNO","JPU","MTR","BPP","KPG","PLU"},Database!$AP$4:$AP$1048576,"=4",Database!$AG$4:$AG$1048576,"Subdis")),0)))))))/$E$8</f>
        <v>0</v>
      </c>
      <c r="L17" s="9">
        <f t="shared" si="1"/>
        <v>0</v>
      </c>
      <c r="M17" s="10" t="e">
        <f t="shared" si="2"/>
        <v>#DIV/0!</v>
      </c>
      <c r="N17" s="10" t="e">
        <f t="shared" si="3"/>
        <v>#DIV/0!</v>
      </c>
      <c r="O17" s="32" t="e">
        <f t="shared" si="4"/>
        <v>#DIV/0!</v>
      </c>
      <c r="P17" s="11" t="s">
        <v>5</v>
      </c>
      <c r="Q17" s="32" t="e">
        <f t="shared" si="12"/>
        <v>#DIV/0!</v>
      </c>
      <c r="R17" s="81" t="e">
        <f t="shared" si="6"/>
        <v>#DIV/0!</v>
      </c>
      <c r="S17" s="81" t="e">
        <f t="shared" si="7"/>
        <v>#DIV/0!</v>
      </c>
      <c r="T17" s="81" t="e">
        <f t="shared" si="13"/>
        <v>#DIV/0!</v>
      </c>
      <c r="U17" s="81" t="e">
        <f t="shared" si="14"/>
        <v>#DIV/0!</v>
      </c>
      <c r="V17" s="255"/>
    </row>
    <row r="18" spans="1:22" ht="18" x14ac:dyDescent="0.35">
      <c r="A18" s="9" t="s">
        <v>23</v>
      </c>
      <c r="B18" s="23">
        <f>IF($I$4="Barat",IF($I$5="All",SUM(SUMIFS(Database!$P$4:$P$1048576,Database!$B$4:$B$1048576,$I$3,Database!$D$4:$D$1048576,{"JK2","MDN","TGR","PKB","PLB","BDL","PMS","PDG","BTM","BAC","JBI","PKP","BKL","LSE","PJT"},Database!$P$4:$P$1048576,"=1")),IF($I$5="Apotek",SUM(SUMIFS(Database!$P$4:$P$1048576,Database!$B$4:$B$1048576,$I$3,Database!$D$4:$D$1048576,{"JK2","MDN","TGR","PKB","PLB","BDL","PMS","PDG","BTM","BAC","JBI","PKP","BKL","LSE","PJT"},Database!$P$4:$P$1048576,"=1",Database!$F$4:$F$1048576,"Apotek")),IF($I$5="Rumah Sakit",SUM(SUMIFS(Database!$P$4:$P$1048576,Database!$B$4:$B$1048576,$I$3,Database!$D$4:$D$1048576,{"JK2","MDN","TGR","PKB","PLB","BDL","PMS","PDG","BTM","BAC","JBI","PKP","BKL","LSE","PJT"},Database!$P$4:$P$1048576,"=1",Database!$F$4:$F$1048576,"Rumah sakit")),IF($I$5="Subdis",SUM(SUMIFS(Database!$P$4:$P$1048576,Database!$B$4:$B$1048576,$I$3,Database!$D$4:$D$1048576,{"JK2","MDN","TGR","PKB","PLB","BDL","PMS","PDG","BTM","BAC","JBI","PKP","BKL","LSE","PJT"},Database!$P$4:$P$1048576,"=1",Database!$F$4:$F$1048576,"Subdis")),0)))),IF($I$4="Tengah",IF($I$5="All",SUM(SUMIFS(Database!$P$4:$P$1048576,Database!$B$4:$B$1048576,$I$3,Database!$D$4:$D$1048576,{"JK1","JK3","BDG","SMG","BGR","YOG","SLO","CRB","PWK","BKS","KDS","TGL","TSK","SKI","BD2"},Database!$P$4:$P$1048576,"=1")),IF($I$5="Apotek",SUM(SUMIFS(Database!$P$4:$P$1048576,Database!$B$4:$B$1048576,$I$3,Database!$D$4:$D$1048576,{"JK1","JK3","BDG","SMG","BGR","YOG","SLO","CRB","PWK","BKS","KDS","TGL","TSK","SKI","BD2"},Database!$P$4:$P$1048576,"=1",Database!$F$4:$F$1048576,"Apotek")),IF($I$5="Rumah Sakit",SUM(SUMIFS(Database!$P$4:$P$1048576,Database!$B$4:$B$1048576,$I$3,Database!$D$4:$D$1048576,{"JK1","JK3","BDG","SMG","BGR","YOG","SLO","CRB","PWK","BKS","KDS","TGL","TSK","SKI","BD2"},Database!$P$4:$P$1048576,"=1",Database!$F$4:$F$1048576,"Rumah sakit")),IF($I$5="Subdis",SUM(SUMIFS(Database!$P$4:$P$1048576,Database!$B$4:$B$1048576,$I$3,Database!$D$4:$D$1048576,{"JK1","JK3","BDG","SMG","BGR","YOG","SLO","CRB","PWK","BKS","KDS","TGL","TSK","SKI","BD2"},Database!$P$4:$P$1048576,"=1",Database!$F$4:$F$1048576,"Subdis")),0)))),IF($I$4="Timur",IF($I$5="All",SUM(SUMIFS(Database!$P$4:$P$1048576,Database!$B$4:$B$1048576,$I$3,Database!$D$4:$D$1048576,{"SB1","SB2","BMS","MKS","DPS","KDR","MLG","SMD","PTK","JBR","MNO","JPU","MTR","BPP","KPG","PLU"},Database!$P$4:$P$1048576,"=1")),IF($I$5="Apotek",SUM(SUMIFS(Database!$P$4:$P$1048576,Database!$B$4:$B$1048576,$I$3,Database!$D$4:$D$1048576,{"SB1","SB2","BMS","MKS","DPS","KDR","MLG","SMD","PTK","JBR","MNO","JPU","MTR","BPP","KPG","PLU"},Database!$P$4:$P$1048576,"=1",Database!$F$4:$F$1048576,"Apotek")),IF($I$5="Rumah Sakit",SUM(SUMIFS(Database!$P$4:$P$1048576,Database!$B$4:$B$1048576,$I$3,Database!$D$4:$D$1048576,{"SB1","SB2","BMS","MKS","DPS","KDR","MLG","SMD","PTK","JBR","MNO","JPU","MTR","BPP","KPG","PLU"},Database!$P$4:$P$1048576,"=1",Database!$F$4:$F$1048576,"Rumah sakit")),IF($I$5="Subdis",SUM(SUMIFS(Database!$P$4:$P$1048576,Database!$B$4:$B$1048576,$I$3,Database!$D$4:$D$1048576,{"SB1","SB2","BMS","MKS","DPS","KDR","MLG","SMD","PTK","JBR","MNO","JPU","MTR","BPP","KPG","PLU"},Database!$P$4:$P$1048576,"=1",Database!$F$4:$F$1048576,"Subdis")),0)))))))/$B$8</f>
        <v>0</v>
      </c>
      <c r="C18" s="23">
        <f>IF($I$4="Barat",IF($I$5="All",SUM(SUMIFS(Database!$P$4:$P$1048576,Database!$B$4:$B$1048576,$I$3,Database!$D$4:$D$1048576,{"JK2","MDN","TGR","PKB","PLB","BDL","PMS","PDG","BTM","BAC","JBI","PKP","BKL","LSE","PJT"},Database!$P$4:$P$1048576,"=2")),IF($I$5="Apotek",SUM(SUMIFS(Database!$P$4:$P$1048576,Database!$B$4:$B$1048576,$I$3,Database!$D$4:$D$1048576,{"JK2","MDN","TGR","PKB","PLB","BDL","PMS","PDG","BTM","BAC","JBI","PKP","BKL","LSE","PJT"},Database!$P$4:$P$1048576,"=2",Database!$F$4:$F$1048576,"Apotek")),IF($I$5="Rumah Sakit",SUM(SUMIFS(Database!$P$4:$P$1048576,Database!$B$4:$B$1048576,$I$3,Database!$D$4:$D$1048576,{"JK2","MDN","TGR","PKB","PLB","BDL","PMS","PDG","BTM","BAC","JBI","PKP","BKL","LSE","PJT"},Database!$P$4:$P$1048576,"=2",Database!$F$4:$F$1048576,"Rumah sakit")),IF($I$5="Subdis",SUM(SUMIFS(Database!$P$4:$P$1048576,Database!$B$4:$B$1048576,$I$3,Database!$D$4:$D$1048576,{"JK2","MDN","TGR","PKB","PLB","BDL","PMS","PDG","BTM","BAC","JBI","PKP","BKL","LSE","PJT"},Database!$P$4:$P$1048576,"=2",Database!$F$4:$F$1048576,"Subdis")),0)))),IF($I$4="Tengah",IF($I$5="All",SUM(SUMIFS(Database!$P$4:$P$1048576,Database!$B$4:$B$1048576,$I$3,Database!$D$4:$D$1048576,{"JK1","JK3","BDG","SMG","BGR","YOG","SLO","CRB","PWK","BKS","KDS","TGL","TSK","SKI","BD2"},Database!$P$4:$P$1048576,"=2")),IF($I$5="Apotek",SUM(SUMIFS(Database!$P$4:$P$1048576,Database!$B$4:$B$1048576,$I$3,Database!$D$4:$D$1048576,{"JK1","JK3","BDG","SMG","BGR","YOG","SLO","CRB","PWK","BKS","KDS","TGL","TSK","SKI","BD2"},Database!$P$4:$P$1048576,"=2",Database!$F$4:$F$1048576,"Apotek")),IF($I$5="Rumah Sakit",SUM(SUMIFS(Database!$P$4:$P$1048576,Database!$B$4:$B$1048576,$I$3,Database!$D$4:$D$1048576,{"JK1","JK3","BDG","SMG","BGR","YOG","SLO","CRB","PWK","BKS","KDS","TGL","TSK","SKI","BD2"},Database!$P$4:$P$1048576,"=2",Database!$F$4:$F$1048576,"Rumah sakit")),IF($I$5="Subdis",SUM(SUMIFS(Database!$P$4:$P$1048576,Database!$B$4:$B$1048576,$I$3,Database!$D$4:$D$1048576,{"JK1","JK3","BDG","SMG","BGR","YOG","SLO","CRB","PWK","BKS","KDS","TGL","TSK","SKI","BD2"},Database!$P$4:$P$1048576,"=2",Database!$F$4:$F$1048576,"Subdis")),0)))),IF($I$4="Timur",IF($I$5="All",SUM(SUMIFS(Database!$P$4:$P$1048576,Database!$B$4:$B$1048576,$I$3,Database!$D$4:$D$1048576,{"SB1","SB2","BMS","MKS","DPS","KDR","MLG","SMD","PTK","JBR","MNO","JPU","MTR","BPP","KPG","PLU"},Database!$P$4:$P$1048576,"=2")),IF($I$5="Apotek",SUM(SUMIFS(Database!$P$4:$P$1048576,Database!$B$4:$B$1048576,$I$3,Database!$D$4:$D$1048576,{"SB1","SB2","BMS","MKS","DPS","KDR","MLG","SMD","PTK","JBR","MNO","JPU","MTR","BPP","KPG","PLU"},Database!$P$4:$P$1048576,"=2",Database!$F$4:$F$1048576,"Apotek")),IF($I$5="Rumah Sakit",SUM(SUMIFS(Database!$P$4:$P$1048576,Database!$B$4:$B$1048576,$I$3,Database!$D$4:$D$1048576,{"SB1","SB2","BMS","MKS","DPS","KDR","MLG","SMD","PTK","JBR","MNO","JPU","MTR","BPP","KPG","PLU"},Database!$P$4:$P$1048576,"=2",Database!$F$4:$F$1048576,"Rumah sakit")),IF($I$5="Subdis",SUM(SUMIFS(Database!$P$4:$P$1048576,Database!$B$4:$B$1048576,$I$3,Database!$D$4:$D$1048576,{"SB1","SB2","BMS","MKS","DPS","KDR","MLG","SMD","PTK","JBR","MNO","JPU","MTR","BPP","KPG","PLU"},Database!$P$4:$P$1048576,"=2",Database!$F$4:$F$1048576,"Subdis")),0)))))))/$C$8</f>
        <v>0</v>
      </c>
      <c r="D18" s="23">
        <f>IF($I$4="Barat",IF($I$5="All",SUM(SUMIFS(Database!$P$4:$P$1048576,Database!$B$4:$B$1048576,$I$3,Database!$D$4:$D$1048576,{"JK2","MDN","TGR","PKB","PLB","BDL","PMS","PDG","BTM","BAC","JBI","PKP","BKL","LSE","PJT"},Database!$P$4:$P$1048576,"=3")),IF($I$5="Apotek",SUM(SUMIFS(Database!$P$4:$P$1048576,Database!$B$4:$B$1048576,$I$3,Database!$D$4:$D$1048576,{"JK2","MDN","TGR","PKB","PLB","BDL","PMS","PDG","BTM","BAC","JBI","PKP","BKL","LSE","PJT"},Database!$P$4:$P$1048576,"=3",Database!$F$4:$F$1048576,"Apotek")),IF($I$5="Rumah Sakit",SUM(SUMIFS(Database!$P$4:$P$1048576,Database!$B$4:$B$1048576,$I$3,Database!$D$4:$D$1048576,{"JK2","MDN","TGR","PKB","PLB","BDL","PMS","PDG","BTM","BAC","JBI","PKP","BKL","LSE","PJT"},Database!$P$4:$P$1048576,"=3",Database!$F$4:$F$1048576,"Rumah sakit")),IF($I$5="Subdis",SUM(SUMIFS(Database!$P$4:$P$1048576,Database!$B$4:$B$1048576,$I$3,Database!$D$4:$D$1048576,{"JK2","MDN","TGR","PKB","PLB","BDL","PMS","PDG","BTM","BAC","JBI","PKP","BKL","LSE","PJT"},Database!$P$4:$P$1048576,"=3",Database!$F$4:$F$1048576,"Subdis")),0)))),IF($I$4="Tengah",IF($I$5="All",SUM(SUMIFS(Database!$P$4:$P$1048576,Database!$B$4:$B$1048576,$I$3,Database!$D$4:$D$1048576,{"JK1","JK3","BDG","SMG","BGR","YOG","SLO","CRB","PWK","BKS","KDS","TGL","TSK","SKI","BD2"},Database!$P$4:$P$1048576,"=3")),IF($I$5="Apotek",SUM(SUMIFS(Database!$P$4:$P$1048576,Database!$B$4:$B$1048576,$I$3,Database!$D$4:$D$1048576,{"JK1","JK3","BDG","SMG","BGR","YOG","SLO","CRB","PWK","BKS","KDS","TGL","TSK","SKI","BD2"},Database!$P$4:$P$1048576,"=3",Database!$F$4:$F$1048576,"Apotek")),IF($I$5="Rumah Sakit",SUM(SUMIFS(Database!$P$4:$P$1048576,Database!$B$4:$B$1048576,$I$3,Database!$D$4:$D$1048576,{"JK1","JK3","BDG","SMG","BGR","YOG","SLO","CRB","PWK","BKS","KDS","TGL","TSK","SKI","BD2"},Database!$P$4:$P$1048576,"=3",Database!$F$4:$F$1048576,"Rumah sakit")),IF($I$5="Subdis",SUM(SUMIFS(Database!$P$4:$P$1048576,Database!$B$4:$B$1048576,$I$3,Database!$D$4:$D$1048576,{"JK1","JK3","BDG","SMG","BGR","YOG","SLO","CRB","PWK","BKS","KDS","TGL","TSK","SKI","BD2"},Database!$P$4:$P$1048576,"=3",Database!$F$4:$F$1048576,"Subdis")),0)))),IF($I$4="Timur",IF($I$5="All",SUM(SUMIFS(Database!$P$4:$P$1048576,Database!$B$4:$B$1048576,$I$3,Database!$D$4:$D$1048576,{"SB1","SB2","BMS","MKS","DPS","KDR","MLG","SMD","PTK","JBR","MNO","JPU","MTR","BPP","KPG","PLU"},Database!$P$4:$P$1048576,"=3")),IF($I$5="Apotek",SUM(SUMIFS(Database!$P$4:$P$1048576,Database!$B$4:$B$1048576,$I$3,Database!$D$4:$D$1048576,{"SB1","SB2","BMS","MKS","DPS","KDR","MLG","SMD","PTK","JBR","MNO","JPU","MTR","BPP","KPG","PLU"},Database!$P$4:$P$1048576,"=3",Database!$F$4:$F$1048576,"Apotek")),IF($I$5="Rumah Sakit",SUM(SUMIFS(Database!$P$4:$P$1048576,Database!$B$4:$B$1048576,$I$3,Database!$D$4:$D$1048576,{"SB1","SB2","BMS","MKS","DPS","KDR","MLG","SMD","PTK","JBR","MNO","JPU","MTR","BPP","KPG","PLU"},Database!$P$4:$P$1048576,"=3",Database!$F$4:$F$1048576,"Rumah sakit")),IF($I$5="Subdis",SUM(SUMIFS(Database!$P$4:$P$1048576,Database!$B$4:$B$1048576,$I$3,Database!$D$4:$D$1048576,{"SB1","SB2","BMS","MKS","DPS","KDR","MLG","SMD","PTK","JBR","MNO","JPU","MTR","BPP","KPG","PLU"},Database!$P$4:$P$1048576,"=3",Database!$F$4:$F$1048576,"Subdis")),0)))))))/$D$8</f>
        <v>0</v>
      </c>
      <c r="E18" s="23">
        <f>IF($I$4="Barat",IF($I$5="All",SUM(SUMIFS(Database!$P$4:$P$1048576,Database!$B$4:$B$1048576,$I$3,Database!$D$4:$D$1048576,{"JK2","MDN","TGR","PKB","PLB","BDL","PMS","PDG","BTM","BAC","JBI","PKP","BKL","LSE","PJT"},Database!$P$4:$P$1048576,"=4")),IF($I$5="Apotek",SUM(SUMIFS(Database!$P$4:$P$1048576,Database!$B$4:$B$1048576,$I$3,Database!$D$4:$D$1048576,{"JK2","MDN","TGR","PKB","PLB","BDL","PMS","PDG","BTM","BAC","JBI","PKP","BKL","LSE","PJT"},Database!$P$4:$P$1048576,"=4",Database!$F$4:$F$1048576,"Apotek")),IF($I$5="Rumah Sakit",SUM(SUMIFS(Database!$P$4:$P$1048576,Database!$B$4:$B$1048576,$I$3,Database!$D$4:$D$1048576,{"JK2","MDN","TGR","PKB","PLB","BDL","PMS","PDG","BTM","BAC","JBI","PKP","BKL","LSE","PJT"},Database!$P$4:$P$1048576,"=4",Database!$F$4:$F$1048576,"Rumah sakit")),IF($I$5="Subdis",SUM(SUMIFS(Database!$P$4:$P$1048576,Database!$B$4:$B$1048576,$I$3,Database!$D$4:$D$1048576,{"JK2","MDN","TGR","PKB","PLB","BDL","PMS","PDG","BTM","BAC","JBI","PKP","BKL","LSE","PJT"},Database!$P$4:$P$1048576,"=4",Database!$F$4:$F$1048576,"Subdis")),0)))),IF($I$4="Tengah",IF($I$5="All",SUM(SUMIFS(Database!$P$4:$P$1048576,Database!$B$4:$B$1048576,$I$3,Database!$D$4:$D$1048576,{"JK1","JK3","BDG","SMG","BGR","YOG","SLO","CRB","PWK","BKS","KDS","TGL","TSK","SKI","BD2"},Database!$P$4:$P$1048576,"=4")),IF($I$5="Apotek",SUM(SUMIFS(Database!$P$4:$P$1048576,Database!$B$4:$B$1048576,$I$3,Database!$D$4:$D$1048576,{"JK1","JK3","BDG","SMG","BGR","YOG","SLO","CRB","PWK","BKS","KDS","TGL","TSK","SKI","BD2"},Database!$P$4:$P$1048576,"=4",Database!$F$4:$F$1048576,"Apotek")),IF($I$5="Rumah Sakit",SUM(SUMIFS(Database!$P$4:$P$1048576,Database!$B$4:$B$1048576,$I$3,Database!$D$4:$D$1048576,{"JK1","JK3","BDG","SMG","BGR","YOG","SLO","CRB","PWK","BKS","KDS","TGL","TSK","SKI","BD2"},Database!$P$4:$P$1048576,"=4",Database!$F$4:$F$1048576,"Rumah sakit")),IF($I$5="Subdis",SUM(SUMIFS(Database!$P$4:$P$1048576,Database!$B$4:$B$1048576,$I$3,Database!$D$4:$D$1048576,{"JK1","JK3","BDG","SMG","BGR","YOG","SLO","CRB","PWK","BKS","KDS","TGL","TSK","SKI","BD2"},Database!$P$4:$P$1048576,"=4",Database!$F$4:$F$1048576,"Subdis")),0)))),IF($I$4="Timur",IF($I$5="All",SUM(SUMIFS(Database!$P$4:$P$1048576,Database!$B$4:$B$1048576,$I$3,Database!$D$4:$D$1048576,{"SB1","SB2","BMS","MKS","DPS","KDR","MLG","SMD","PTK","JBR","MNO","JPU","MTR","BPP","KPG","PLU"},Database!$P$4:$P$1048576,"=4")),IF($I$5="Apotek",SUM(SUMIFS(Database!$P$4:$P$1048576,Database!$B$4:$B$1048576,$I$3,Database!$D$4:$D$1048576,{"SB1","SB2","BMS","MKS","DPS","KDR","MLG","SMD","PTK","JBR","MNO","JPU","MTR","BPP","KPG","PLU"},Database!$P$4:$P$1048576,"=4",Database!$F$4:$F$1048576,"Apotek")),IF($I$5="Rumah Sakit",SUM(SUMIFS(Database!$P$4:$P$1048576,Database!$B$4:$B$1048576,$I$3,Database!$D$4:$D$1048576,{"SB1","SB2","BMS","MKS","DPS","KDR","MLG","SMD","PTK","JBR","MNO","JPU","MTR","BPP","KPG","PLU"},Database!$P$4:$P$1048576,"=4",Database!$F$4:$F$1048576,"Rumah sakit")),IF($I$5="Subdis",SUM(SUMIFS(Database!$P$4:$P$1048576,Database!$B$4:$B$1048576,$I$3,Database!$D$4:$D$1048576,{"SB1","SB2","BMS","MKS","DPS","KDR","MLG","SMD","PTK","JBR","MNO","JPU","MTR","BPP","KPG","PLU"},Database!$P$4:$P$1048576,"=4",Database!$F$4:$F$1048576,"Subdis")),0)))))))/$E$8</f>
        <v>0</v>
      </c>
      <c r="F18" s="9">
        <f t="shared" si="0"/>
        <v>0</v>
      </c>
      <c r="G18" s="10" t="e">
        <f t="shared" si="10"/>
        <v>#DIV/0!</v>
      </c>
      <c r="H18" s="23">
        <f>IF($I$4="Barat",IF($I$5="All",SUM(SUMIFS(Database!$AQ$4:$AQ$1048576,Database!$AC$4:$AC$1048576,$I$3,Database!$AE$4:$AE$1048576,{"JK2","MDN","TGR","PKB","PLB","BDL","PMS","PDG","BTM","BAC","JBI","PKP","BKL","LSE","PJT"},Database!$AQ$4:$AQ$1048576,"=1")),IF($I$5="Apotek",SUM(SUMIFS(Database!$AQ$4:$AQ$1048576,Database!$AC$4:$AC$1048576,$I$3,Database!$AE$4:$AE$1048576,{"JK2","MDN","TGR","PKB","PLB","BDL","PMS","PDG","BTM","BAC","JBI","PKP","BKL","LSE","PJT"},Database!$AQ$4:$AQ$1048576,"=1",Database!$AG$4:$AG$1048576,"Apotek")),IF($I$5="Rumah Sakit",SUM(SUMIFS(Database!$AQ$4:$AQ$1048576,Database!$AC$4:$AC$1048576,$I$3,Database!$AE$4:$AE$1048576,{"JK2","MDN","TGR","PKB","PLB","BDL","PMS","PDG","BTM","BAC","JBI","PKP","BKL","LSE","PJT"},Database!$AQ$4:$AQ$1048576,"=1",Database!$AG$4:$AG$1048576,"Rumah sakit")),IF($I$5="Subdis",SUM(SUMIFS(Database!$AQ$4:$AQ$1048576,Database!$AC$4:$AC$1048576,$I$3,Database!$AE$4:$AE$1048576,{"JK2","MDN","TGR","PKB","PLB","BDL","PMS","PDG","BTM","BAC","JBI","PKP","BKL","LSE","PJT"},Database!$AQ$4:$AQ$1048576,"=1",Database!$AG$4:$AG$1048576,"Subdis")),0)))),IF($I$4="Tengah",IF($I$5="All",SUM(SUMIFS(Database!$AQ$4:$AQ$1048576,Database!$AC$4:$AC$1048576,$I$3,Database!$AE$4:$AE$1048576,{"JK1","JK3","BDG","SMG","BGR","YOG","SLO","CRB","PWK","BKS","KDS","TGL","TSK","SKI","BD2"},Database!$AQ$4:$AQ$1048576,"=1")),IF($I$5="Apotek",SUM(SUMIFS(Database!$AQ$4:$AQ$1048576,Database!$AC$4:$AC$1048576,$I$3,Database!$AE$4:$AE$1048576,{"JK1","JK3","BDG","SMG","BGR","YOG","SLO","CRB","PWK","BKS","KDS","TGL","TSK","SKI","BD2"},Database!$AQ$4:$AQ$1048576,"=1",Database!$AG$4:$AG$1048576,"Apotek")),IF($I$5="Rumah Sakit",SUM(SUMIFS(Database!$AQ$4:$AQ$1048576,Database!$AC$4:$AC$1048576,$I$3,Database!$AE$4:$AE$1048576,{"JK1","JK3","BDG","SMG","BGR","YOG","SLO","CRB","PWK","BKS","KDS","TGL","TSK","SKI","BD2"},Database!$AQ$4:$AQ$1048576,"=1",Database!$AG$4:$AG$1048576,"Rumah sakit")),IF($I$5="Subdis",SUM(SUMIFS(Database!$AQ$4:$AQ$1048576,Database!$AC$4:$AC$1048576,$I$3,Database!$AE$4:$AE$1048576,{"JK1","JK3","BDG","SMG","BGR","YOG","SLO","CRB","PWK","BKS","KDS","TGL","TSK","SKI","BD2"},Database!$AQ$4:$AQ$1048576,"=1",Database!$AG$4:$AG$1048576,"Subdis")),0)))),IF($I$4="Timur",IF($I$5="All",SUM(SUMIFS(Database!$AQ$4:$AQ$1048576,Database!$AC$4:$AC$1048576,$I$3,Database!$AE$4:$AE$1048576,{"SB1","SB2","BMS","MKS","DPS","KDR","MLG","SMD","PTK","JBR","MNO","JPU","MTR","BPP","KPG","PLU"},Database!$AQ$4:$AQ$1048576,"=1")),IF($I$5="Apotek",SUM(SUMIFS(Database!$AQ$4:$AQ$1048576,Database!$AC$4:$AC$1048576,$I$3,Database!$AE$4:$AE$1048576,{"SB1","SB2","BMS","MKS","DPS","KDR","MLG","SMD","PTK","JBR","MNO","JPU","MTR","BPP","KPG","PLU"},Database!$AQ$4:$AQ$1048576,"=1",Database!$AG$4:$AG$1048576,"Apotek")),IF($I$5="Rumah Sakit",SUM(SUMIFS(Database!$AQ$4:$AQ$1048576,Database!$AC$4:$AC$1048576,$I$3,Database!$AE$4:$AE$1048576,{"SB1","SB2","BMS","MKS","DPS","KDR","MLG","SMD","PTK","JBR","MNO","JPU","MTR","BPP","KPG","PLU"},Database!$AQ$4:$AQ$1048576,"=1",Database!$AG$4:$AG$1048576,"Rumah sakit")),IF($I$5="Subdis",SUM(SUMIFS(Database!$AQ$4:$AQ$1048576,Database!$AC$4:$AC$1048576,$I$3,Database!$AE$4:$AE$1048576,{"SB1","SB2","BMS","MKS","DPS","KDR","MLG","SMD","PTK","JBR","MNO","JPU","MTR","BPP","KPG","PLU"},Database!$AQ$4:$AQ$1048576,"=1",Database!$AG$4:$AG$1048576,"Subdis")),0)))))))/$B$8</f>
        <v>0</v>
      </c>
      <c r="I18" s="23">
        <f>IF($I$4="Barat",IF($I$5="All",SUM(SUMIFS(Database!$AQ$4:$AQ$1048576,Database!$AC$4:$AC$1048576,$I$3,Database!$AE$4:$AE$1048576,{"JK2","MDN","TGR","PKB","PLB","BDL","PMS","PDG","BTM","BAC","JBI","PKP","BKL","LSE","PJT"},Database!$AQ$4:$AQ$1048576,"=2")),IF($I$5="Apotek",SUM(SUMIFS(Database!$AQ$4:$AQ$1048576,Database!$AC$4:$AC$1048576,$I$3,Database!$AE$4:$AE$1048576,{"JK2","MDN","TGR","PKB","PLB","BDL","PMS","PDG","BTM","BAC","JBI","PKP","BKL","LSE","PJT"},Database!$AQ$4:$AQ$1048576,"=2",Database!$AG$4:$AG$1048576,"Apotek")),IF($I$5="Rumah Sakit",SUM(SUMIFS(Database!$AQ$4:$AQ$1048576,Database!$AC$4:$AC$1048576,$I$3,Database!$AE$4:$AE$1048576,{"JK2","MDN","TGR","PKB","PLB","BDL","PMS","PDG","BTM","BAC","JBI","PKP","BKL","LSE","PJT"},Database!$AQ$4:$AQ$1048576,"=2",Database!$AG$4:$AG$1048576,"Rumah sakit")),IF($I$5="Subdis",SUM(SUMIFS(Database!$AQ$4:$AQ$1048576,Database!$AC$4:$AC$1048576,$I$3,Database!$AE$4:$AE$1048576,{"JK2","MDN","TGR","PKB","PLB","BDL","PMS","PDG","BTM","BAC","JBI","PKP","BKL","LSE","PJT"},Database!$AQ$4:$AQ$1048576,"=2",Database!$AG$4:$AG$1048576,"Subdis")),0)))),IF($I$4="Tengah",IF($I$5="All",SUM(SUMIFS(Database!$AQ$4:$AQ$1048576,Database!$AC$4:$AC$1048576,$I$3,Database!$AE$4:$AE$1048576,{"JK1","JK3","BDG","SMG","BGR","YOG","SLO","CRB","PWK","BKS","KDS","TGL","TSK","SKI","BD2"},Database!$AQ$4:$AQ$1048576,"=2")),IF($I$5="Apotek",SUM(SUMIFS(Database!$AQ$4:$AQ$1048576,Database!$AC$4:$AC$1048576,$I$3,Database!$AE$4:$AE$1048576,{"JK1","JK3","BDG","SMG","BGR","YOG","SLO","CRB","PWK","BKS","KDS","TGL","TSK","SKI","BD2"},Database!$AQ$4:$AQ$1048576,"=2",Database!$AG$4:$AG$1048576,"Apotek")),IF($I$5="Rumah Sakit",SUM(SUMIFS(Database!$AQ$4:$AQ$1048576,Database!$AC$4:$AC$1048576,$I$3,Database!$AE$4:$AE$1048576,{"JK1","JK3","BDG","SMG","BGR","YOG","SLO","CRB","PWK","BKS","KDS","TGL","TSK","SKI","BD2"},Database!$AQ$4:$AQ$1048576,"=2",Database!$AG$4:$AG$1048576,"Rumah sakit")),IF($I$5="Subdis",SUM(SUMIFS(Database!$AQ$4:$AQ$1048576,Database!$AC$4:$AC$1048576,$I$3,Database!$AE$4:$AE$1048576,{"JK1","JK3","BDG","SMG","BGR","YOG","SLO","CRB","PWK","BKS","KDS","TGL","TSK","SKI","BD2"},Database!$AQ$4:$AQ$1048576,"=2",Database!$AG$4:$AG$1048576,"Subdis")),0)))),IF($I$4="Timur",IF($I$5="All",SUM(SUMIFS(Database!$AQ$4:$AQ$1048576,Database!$AC$4:$AC$1048576,$I$3,Database!$AE$4:$AE$1048576,{"SB1","SB2","BMS","MKS","DPS","KDR","MLG","SMD","PTK","JBR","MNO","JPU","MTR","BPP","KPG","PLU"},Database!$AQ$4:$AQ$1048576,"=2")),IF($I$5="Apotek",SUM(SUMIFS(Database!$AQ$4:$AQ$1048576,Database!$AC$4:$AC$1048576,$I$3,Database!$AE$4:$AE$1048576,{"SB1","SB2","BMS","MKS","DPS","KDR","MLG","SMD","PTK","JBR","MNO","JPU","MTR","BPP","KPG","PLU"},Database!$AQ$4:$AQ$1048576,"=2",Database!$AG$4:$AG$1048576,"Apotek")),IF($I$5="Rumah Sakit",SUM(SUMIFS(Database!$AQ$4:$AQ$1048576,Database!$AC$4:$AC$1048576,$I$3,Database!$AE$4:$AE$1048576,{"SB1","SB2","BMS","MKS","DPS","KDR","MLG","SMD","PTK","JBR","MNO","JPU","MTR","BPP","KPG","PLU"},Database!$AQ$4:$AQ$1048576,"=2",Database!$AG$4:$AG$1048576,"Rumah sakit")),IF($I$5="Subdis",SUM(SUMIFS(Database!$AQ$4:$AQ$1048576,Database!$AC$4:$AC$1048576,$I$3,Database!$AE$4:$AE$1048576,{"SB1","SB2","BMS","MKS","DPS","KDR","MLG","SMD","PTK","JBR","MNO","JPU","MTR","BPP","KPG","PLU"},Database!$AQ$4:$AQ$1048576,"=2",Database!$AG$4:$AG$1048576,"Subdis")),0)))))))/$C$8</f>
        <v>0</v>
      </c>
      <c r="J18" s="23">
        <f>IF($I$4="Barat",IF($I$5="All",SUM(SUMIFS(Database!$AQ$4:$AQ$1048576,Database!$AC$4:$AC$1048576,$I$3,Database!$AE$4:$AE$1048576,{"JK2","MDN","TGR","PKB","PLB","BDL","PMS","PDG","BTM","BAC","JBI","PKP","BKL","LSE","PJT"},Database!$AQ$4:$AQ$1048576,"=3")),IF($I$5="Apotek",SUM(SUMIFS(Database!$AQ$4:$AQ$1048576,Database!$AC$4:$AC$1048576,$I$3,Database!$AE$4:$AE$1048576,{"JK2","MDN","TGR","PKB","PLB","BDL","PMS","PDG","BTM","BAC","JBI","PKP","BKL","LSE","PJT"},Database!$AQ$4:$AQ$1048576,"=3",Database!$AG$4:$AG$1048576,"Apotek")),IF($I$5="Rumah Sakit",SUM(SUMIFS(Database!$AQ$4:$AQ$1048576,Database!$AC$4:$AC$1048576,$I$3,Database!$AE$4:$AE$1048576,{"JK2","MDN","TGR","PKB","PLB","BDL","PMS","PDG","BTM","BAC","JBI","PKP","BKL","LSE","PJT"},Database!$AQ$4:$AQ$1048576,"=3",Database!$AG$4:$AG$1048576,"Rumah sakit")),IF($I$5="Subdis",SUM(SUMIFS(Database!$AQ$4:$AQ$1048576,Database!$AC$4:$AC$1048576,$I$3,Database!$AE$4:$AE$1048576,{"JK2","MDN","TGR","PKB","PLB","BDL","PMS","PDG","BTM","BAC","JBI","PKP","BKL","LSE","PJT"},Database!$AQ$4:$AQ$1048576,"=3",Database!$AG$4:$AG$1048576,"Subdis")),0)))),IF($I$4="Tengah",IF($I$5="All",SUM(SUMIFS(Database!$AQ$4:$AQ$1048576,Database!$AC$4:$AC$1048576,$I$3,Database!$AE$4:$AE$1048576,{"JK1","JK3","BDG","SMG","BGR","YOG","SLO","CRB","PWK","BKS","KDS","TGL","TSK","SKI","BD2"},Database!$AQ$4:$AQ$1048576,"=3")),IF($I$5="Apotek",SUM(SUMIFS(Database!$AQ$4:$AQ$1048576,Database!$AC$4:$AC$1048576,$I$3,Database!$AE$4:$AE$1048576,{"JK1","JK3","BDG","SMG","BGR","YOG","SLO","CRB","PWK","BKS","KDS","TGL","TSK","SKI","BD2"},Database!$AQ$4:$AQ$1048576,"=3",Database!$AG$4:$AG$1048576,"Apotek")),IF($I$5="Rumah Sakit",SUM(SUMIFS(Database!$AQ$4:$AQ$1048576,Database!$AC$4:$AC$1048576,$I$3,Database!$AE$4:$AE$1048576,{"JK1","JK3","BDG","SMG","BGR","YOG","SLO","CRB","PWK","BKS","KDS","TGL","TSK","SKI","BD2"},Database!$AQ$4:$AQ$1048576,"=3",Database!$AG$4:$AG$1048576,"Rumah sakit")),IF($I$5="Subdis",SUM(SUMIFS(Database!$AQ$4:$AQ$1048576,Database!$AC$4:$AC$1048576,$I$3,Database!$AE$4:$AE$1048576,{"JK1","JK3","BDG","SMG","BGR","YOG","SLO","CRB","PWK","BKS","KDS","TGL","TSK","SKI","BD2"},Database!$AQ$4:$AQ$1048576,"=3",Database!$AG$4:$AG$1048576,"Subdis")),0)))),IF($I$4="Timur",IF($I$5="All",SUM(SUMIFS(Database!$AQ$4:$AQ$1048576,Database!$AC$4:$AC$1048576,$I$3,Database!$AE$4:$AE$1048576,{"SB1","SB2","BMS","MKS","DPS","KDR","MLG","SMD","PTK","JBR","MNO","JPU","MTR","BPP","KPG","PLU"},Database!$AQ$4:$AQ$1048576,"=3")),IF($I$5="Apotek",SUM(SUMIFS(Database!$AQ$4:$AQ$1048576,Database!$AC$4:$AC$1048576,$I$3,Database!$AE$4:$AE$1048576,{"SB1","SB2","BMS","MKS","DPS","KDR","MLG","SMD","PTK","JBR","MNO","JPU","MTR","BPP","KPG","PLU"},Database!$AQ$4:$AQ$1048576,"=3",Database!$AG$4:$AG$1048576,"Apotek")),IF($I$5="Rumah Sakit",SUM(SUMIFS(Database!$AQ$4:$AQ$1048576,Database!$AC$4:$AC$1048576,$I$3,Database!$AE$4:$AE$1048576,{"SB1","SB2","BMS","MKS","DPS","KDR","MLG","SMD","PTK","JBR","MNO","JPU","MTR","BPP","KPG","PLU"},Database!$AQ$4:$AQ$1048576,"=3",Database!$AG$4:$AG$1048576,"Rumah sakit")),IF($I$5="Subdis",SUM(SUMIFS(Database!$AQ$4:$AQ$1048576,Database!$AC$4:$AC$1048576,$I$3,Database!$AE$4:$AE$1048576,{"SB1","SB2","BMS","MKS","DPS","KDR","MLG","SMD","PTK","JBR","MNO","JPU","MTR","BPP","KPG","PLU"},Database!$AQ$4:$AQ$1048576,"=3",Database!$AG$4:$AG$1048576,"Subdis")),0)))))))/$D$8</f>
        <v>0</v>
      </c>
      <c r="K18" s="23">
        <f>IF($I$4="Barat",IF($I$5="All",SUM(SUMIFS(Database!$AQ$4:$AQ$1048576,Database!$AC$4:$AC$1048576,$I$3,Database!$AE$4:$AE$1048576,{"JK2","MDN","TGR","PKB","PLB","BDL","PMS","PDG","BTM","BAC","JBI","PKP","BKL","LSE","PJT"},Database!$AQ$4:$AQ$1048576,"=4")),IF($I$5="Apotek",SUM(SUMIFS(Database!$AQ$4:$AQ$1048576,Database!$AC$4:$AC$1048576,$I$3,Database!$AE$4:$AE$1048576,{"JK2","MDN","TGR","PKB","PLB","BDL","PMS","PDG","BTM","BAC","JBI","PKP","BKL","LSE","PJT"},Database!$AQ$4:$AQ$1048576,"=4",Database!$AG$4:$AG$1048576,"Apotek")),IF($I$5="Rumah Sakit",SUM(SUMIFS(Database!$AQ$4:$AQ$1048576,Database!$AC$4:$AC$1048576,$I$3,Database!$AE$4:$AE$1048576,{"JK2","MDN","TGR","PKB","PLB","BDL","PMS","PDG","BTM","BAC","JBI","PKP","BKL","LSE","PJT"},Database!$AQ$4:$AQ$1048576,"=4",Database!$AG$4:$AG$1048576,"Rumah sakit")),IF($I$5="Subdis",SUM(SUMIFS(Database!$AQ$4:$AQ$1048576,Database!$AC$4:$AC$1048576,$I$3,Database!$AE$4:$AE$1048576,{"JK2","MDN","TGR","PKB","PLB","BDL","PMS","PDG","BTM","BAC","JBI","PKP","BKL","LSE","PJT"},Database!$AQ$4:$AQ$1048576,"=4",Database!$AG$4:$AG$1048576,"Subdis")),0)))),IF($I$4="Tengah",IF($I$5="All",SUM(SUMIFS(Database!$AQ$4:$AQ$1048576,Database!$AC$4:$AC$1048576,$I$3,Database!$AE$4:$AE$1048576,{"JK1","JK3","BDG","SMG","BGR","YOG","SLO","CRB","PWK","BKS","KDS","TGL","TSK","SKI","BD2"},Database!$AQ$4:$AQ$1048576,"=4")),IF($I$5="Apotek",SUM(SUMIFS(Database!$AQ$4:$AQ$1048576,Database!$AC$4:$AC$1048576,$I$3,Database!$AE$4:$AE$1048576,{"JK1","JK3","BDG","SMG","BGR","YOG","SLO","CRB","PWK","BKS","KDS","TGL","TSK","SKI","BD2"},Database!$AQ$4:$AQ$1048576,"=4",Database!$AG$4:$AG$1048576,"Apotek")),IF($I$5="Rumah Sakit",SUM(SUMIFS(Database!$AQ$4:$AQ$1048576,Database!$AC$4:$AC$1048576,$I$3,Database!$AE$4:$AE$1048576,{"JK1","JK3","BDG","SMG","BGR","YOG","SLO","CRB","PWK","BKS","KDS","TGL","TSK","SKI","BD2"},Database!$AQ$4:$AQ$1048576,"=4",Database!$AG$4:$AG$1048576,"Rumah sakit")),IF($I$5="Subdis",SUM(SUMIFS(Database!$AQ$4:$AQ$1048576,Database!$AC$4:$AC$1048576,$I$3,Database!$AE$4:$AE$1048576,{"JK1","JK3","BDG","SMG","BGR","YOG","SLO","CRB","PWK","BKS","KDS","TGL","TSK","SKI","BD2"},Database!$AQ$4:$AQ$1048576,"=4",Database!$AG$4:$AG$1048576,"Subdis")),0)))),IF($I$4="Timur",IF($I$5="All",SUM(SUMIFS(Database!$AQ$4:$AQ$1048576,Database!$AC$4:$AC$1048576,$I$3,Database!$AE$4:$AE$1048576,{"SB1","SB2","BMS","MKS","DPS","KDR","MLG","SMD","PTK","JBR","MNO","JPU","MTR","BPP","KPG","PLU"},Database!$AQ$4:$AQ$1048576,"=4")),IF($I$5="Apotek",SUM(SUMIFS(Database!$AQ$4:$AQ$1048576,Database!$AC$4:$AC$1048576,$I$3,Database!$AE$4:$AE$1048576,{"SB1","SB2","BMS","MKS","DPS","KDR","MLG","SMD","PTK","JBR","MNO","JPU","MTR","BPP","KPG","PLU"},Database!$AQ$4:$AQ$1048576,"=4",Database!$AG$4:$AG$1048576,"Apotek")),IF($I$5="Rumah Sakit",SUM(SUMIFS(Database!$AQ$4:$AQ$1048576,Database!$AC$4:$AC$1048576,$I$3,Database!$AE$4:$AE$1048576,{"SB1","SB2","BMS","MKS","DPS","KDR","MLG","SMD","PTK","JBR","MNO","JPU","MTR","BPP","KPG","PLU"},Database!$AQ$4:$AQ$1048576,"=4",Database!$AG$4:$AG$1048576,"Rumah sakit")),IF($I$5="Subdis",SUM(SUMIFS(Database!$AQ$4:$AQ$1048576,Database!$AC$4:$AC$1048576,$I$3,Database!$AE$4:$AE$1048576,{"SB1","SB2","BMS","MKS","DPS","KDR","MLG","SMD","PTK","JBR","MNO","JPU","MTR","BPP","KPG","PLU"},Database!$AQ$4:$AQ$1048576,"=4",Database!$AG$4:$AG$1048576,"Subdis")),0)))))))/$E$8</f>
        <v>0</v>
      </c>
      <c r="L18" s="9">
        <f t="shared" si="1"/>
        <v>0</v>
      </c>
      <c r="M18" s="10" t="e">
        <f t="shared" si="2"/>
        <v>#DIV/0!</v>
      </c>
      <c r="N18" s="10" t="e">
        <f t="shared" si="3"/>
        <v>#DIV/0!</v>
      </c>
      <c r="O18" s="32" t="e">
        <f t="shared" si="4"/>
        <v>#DIV/0!</v>
      </c>
      <c r="P18" s="11" t="s">
        <v>55</v>
      </c>
      <c r="Q18" s="32" t="e">
        <f t="shared" si="12"/>
        <v>#DIV/0!</v>
      </c>
      <c r="R18" s="81" t="e">
        <f t="shared" si="6"/>
        <v>#DIV/0!</v>
      </c>
      <c r="S18" s="81" t="e">
        <f t="shared" si="7"/>
        <v>#DIV/0!</v>
      </c>
      <c r="T18" s="81" t="e">
        <f t="shared" si="13"/>
        <v>#DIV/0!</v>
      </c>
      <c r="U18" s="81" t="e">
        <f t="shared" si="14"/>
        <v>#DIV/0!</v>
      </c>
      <c r="V18" s="255"/>
    </row>
    <row r="19" spans="1:22" ht="18" x14ac:dyDescent="0.35">
      <c r="A19" s="9" t="s">
        <v>24</v>
      </c>
      <c r="B19" s="23">
        <f>IF($I$4="Barat",IF($I$5="All",SUM(SUMIFS(Database!$Q$4:$Q$1048576,Database!$B$4:$B$1048576,$I$3,Database!$D$4:$D$1048576,{"JK2","MDN","TGR","PKB","PLB","BDL","PMS","PDG","BTM","BAC","JBI","PKP","BKL","LSE","PJT"},Database!$Q$4:$Q$1048576,"=1")),IF($I$5="Apotek",SUM(SUMIFS(Database!$Q$4:$Q$1048576,Database!$B$4:$B$1048576,$I$3,Database!$D$4:$D$1048576,{"JK2","MDN","TGR","PKB","PLB","BDL","PMS","PDG","BTM","BAC","JBI","PKP","BKL","LSE","PJT"},Database!$Q$4:$Q$1048576,"=1",Database!$F$4:$F$1048576,"Apotek")),IF($I$5="Rumah Sakit",SUM(SUMIFS(Database!$Q$4:$Q$1048576,Database!$B$4:$B$1048576,$I$3,Database!$D$4:$D$1048576,{"JK2","MDN","TGR","PKB","PLB","BDL","PMS","PDG","BTM","BAC","JBI","PKP","BKL","LSE","PJT"},Database!$Q$4:$Q$1048576,"=1",Database!$F$4:$F$1048576,"Rumah sakit")),IF($I$5="Subdis",SUM(SUMIFS(Database!$Q$4:$Q$1048576,Database!$B$4:$B$1048576,$I$3,Database!$D$4:$D$1048576,{"JK2","MDN","TGR","PKB","PLB","BDL","PMS","PDG","BTM","BAC","JBI","PKP","BKL","LSE","PJT"},Database!$Q$4:$Q$1048576,"=1",Database!$F$4:$F$1048576,"Subdis")),0)))),IF($I$4="Tengah",IF($I$5="All",SUM(SUMIFS(Database!$Q$4:$Q$1048576,Database!$B$4:$B$1048576,$I$3,Database!$D$4:$D$1048576,{"JK1","JK3","BDG","SMG","BGR","YOG","SLO","CRB","PWK","BKS","KDS","TGL","TSK","SKI","BD2"},Database!$Q$4:$Q$1048576,"=1")),IF($I$5="Apotek",SUM(SUMIFS(Database!$Q$4:$Q$1048576,Database!$B$4:$B$1048576,$I$3,Database!$D$4:$D$1048576,{"JK1","JK3","BDG","SMG","BGR","YOG","SLO","CRB","PWK","BKS","KDS","TGL","TSK","SKI","BD2"},Database!$Q$4:$Q$1048576,"=1",Database!$F$4:$F$1048576,"Apotek")),IF($I$5="Rumah Sakit",SUM(SUMIFS(Database!$Q$4:$Q$1048576,Database!$B$4:$B$1048576,$I$3,Database!$D$4:$D$1048576,{"JK1","JK3","BDG","SMG","BGR","YOG","SLO","CRB","PWK","BKS","KDS","TGL","TSK","SKI","BD2"},Database!$Q$4:$Q$1048576,"=1",Database!$F$4:$F$1048576,"Rumah sakit")),IF($I$5="Subdis",SUM(SUMIFS(Database!$Q$4:$Q$1048576,Database!$B$4:$B$1048576,$I$3,Database!$D$4:$D$1048576,{"JK1","JK3","BDG","SMG","BGR","YOG","SLO","CRB","PWK","BKS","KDS","TGL","TSK","SKI","BD2"},Database!$Q$4:$Q$1048576,"=1",Database!$F$4:$F$1048576,"Subdis")),0)))),IF($I$4="Timur",IF($I$5="All",SUM(SUMIFS(Database!$Q$4:$Q$1048576,Database!$B$4:$B$1048576,$I$3,Database!$D$4:$D$1048576,{"SB1","SB2","BMS","MKS","DPS","KDR","MLG","SMD","PTK","JBR","MNO","JPU","MTR","BPP","KPG","PLU"},Database!$Q$4:$Q$1048576,"=1")),IF($I$5="Apotek",SUM(SUMIFS(Database!$Q$4:$Q$1048576,Database!$B$4:$B$1048576,$I$3,Database!$D$4:$D$1048576,{"SB1","SB2","BMS","MKS","DPS","KDR","MLG","SMD","PTK","JBR","MNO","JPU","MTR","BPP","KPG","PLU"},Database!$Q$4:$Q$1048576,"=1",Database!$F$4:$F$1048576,"Apotek")),IF($I$5="Rumah Sakit",SUM(SUMIFS(Database!$Q$4:$Q$1048576,Database!$B$4:$B$1048576,$I$3,Database!$D$4:$D$1048576,{"SB1","SB2","BMS","MKS","DPS","KDR","MLG","SMD","PTK","JBR","MNO","JPU","MTR","BPP","KPG","PLU"},Database!$Q$4:$Q$1048576,"=1",Database!$F$4:$F$1048576,"Rumah sakit")),IF($I$5="Subdis",SUM(SUMIFS(Database!$Q$4:$Q$1048576,Database!$B$4:$B$1048576,$I$3,Database!$D$4:$D$1048576,{"SB1","SB2","BMS","MKS","DPS","KDR","MLG","SMD","PTK","JBR","MNO","JPU","MTR","BPP","KPG","PLU"},Database!$Q$4:$Q$1048576,"=1",Database!$F$4:$F$1048576,"Subdis")),0)))))))/$B$8</f>
        <v>0</v>
      </c>
      <c r="C19" s="23">
        <f>IF($I$4="Barat",IF($I$5="All",SUM(SUMIFS(Database!$Q$4:$Q$1048576,Database!$B$4:$B$1048576,$I$3,Database!$D$4:$D$1048576,{"JK2","MDN","TGR","PKB","PLB","BDL","PMS","PDG","BTM","BAC","JBI","PKP","BKL","LSE","PJT"},Database!$Q$4:$Q$1048576,"=2")),IF($I$5="Apotek",SUM(SUMIFS(Database!$Q$4:$Q$1048576,Database!$B$4:$B$1048576,$I$3,Database!$D$4:$D$1048576,{"JK2","MDN","TGR","PKB","PLB","BDL","PMS","PDG","BTM","BAC","JBI","PKP","BKL","LSE","PJT"},Database!$Q$4:$Q$1048576,"=2",Database!$F$4:$F$1048576,"Apotek")),IF($I$5="Rumah Sakit",SUM(SUMIFS(Database!$Q$4:$Q$1048576,Database!$B$4:$B$1048576,$I$3,Database!$D$4:$D$1048576,{"JK2","MDN","TGR","PKB","PLB","BDL","PMS","PDG","BTM","BAC","JBI","PKP","BKL","LSE","PJT"},Database!$Q$4:$Q$1048576,"=2",Database!$F$4:$F$1048576,"Rumah sakit")),IF($I$5="Subdis",SUM(SUMIFS(Database!$Q$4:$Q$1048576,Database!$B$4:$B$1048576,$I$3,Database!$D$4:$D$1048576,{"JK2","MDN","TGR","PKB","PLB","BDL","PMS","PDG","BTM","BAC","JBI","PKP","BKL","LSE","PJT"},Database!$Q$4:$Q$1048576,"=2",Database!$F$4:$F$1048576,"Subdis")),0)))),IF($I$4="Tengah",IF($I$5="All",SUM(SUMIFS(Database!$Q$4:$Q$1048576,Database!$B$4:$B$1048576,$I$3,Database!$D$4:$D$1048576,{"JK1","JK3","BDG","SMG","BGR","YOG","SLO","CRB","PWK","BKS","KDS","TGL","TSK","SKI","BD2"},Database!$Q$4:$Q$1048576,"=2")),IF($I$5="Apotek",SUM(SUMIFS(Database!$Q$4:$Q$1048576,Database!$B$4:$B$1048576,$I$3,Database!$D$4:$D$1048576,{"JK1","JK3","BDG","SMG","BGR","YOG","SLO","CRB","PWK","BKS","KDS","TGL","TSK","SKI","BD2"},Database!$Q$4:$Q$1048576,"=2",Database!$F$4:$F$1048576,"Apotek")),IF($I$5="Rumah Sakit",SUM(SUMIFS(Database!$Q$4:$Q$1048576,Database!$B$4:$B$1048576,$I$3,Database!$D$4:$D$1048576,{"JK1","JK3","BDG","SMG","BGR","YOG","SLO","CRB","PWK","BKS","KDS","TGL","TSK","SKI","BD2"},Database!$Q$4:$Q$1048576,"=2",Database!$F$4:$F$1048576,"Rumah sakit")),IF($I$5="Subdis",SUM(SUMIFS(Database!$Q$4:$Q$1048576,Database!$B$4:$B$1048576,$I$3,Database!$D$4:$D$1048576,{"JK1","JK3","BDG","SMG","BGR","YOG","SLO","CRB","PWK","BKS","KDS","TGL","TSK","SKI","BD2"},Database!$Q$4:$Q$1048576,"=2",Database!$F$4:$F$1048576,"Subdis")),0)))),IF($I$4="Timur",IF($I$5="All",SUM(SUMIFS(Database!$Q$4:$Q$1048576,Database!$B$4:$B$1048576,$I$3,Database!$D$4:$D$1048576,{"SB1","SB2","BMS","MKS","DPS","KDR","MLG","SMD","PTK","JBR","MNO","JPU","MTR","BPP","KPG","PLU"},Database!$Q$4:$Q$1048576,"=2")),IF($I$5="Apotek",SUM(SUMIFS(Database!$Q$4:$Q$1048576,Database!$B$4:$B$1048576,$I$3,Database!$D$4:$D$1048576,{"SB1","SB2","BMS","MKS","DPS","KDR","MLG","SMD","PTK","JBR","MNO","JPU","MTR","BPP","KPG","PLU"},Database!$Q$4:$Q$1048576,"=2",Database!$F$4:$F$1048576,"Apotek")),IF($I$5="Rumah Sakit",SUM(SUMIFS(Database!$Q$4:$Q$1048576,Database!$B$4:$B$1048576,$I$3,Database!$D$4:$D$1048576,{"SB1","SB2","BMS","MKS","DPS","KDR","MLG","SMD","PTK","JBR","MNO","JPU","MTR","BPP","KPG","PLU"},Database!$Q$4:$Q$1048576,"=2",Database!$F$4:$F$1048576,"Rumah sakit")),IF($I$5="Subdis",SUM(SUMIFS(Database!$Q$4:$Q$1048576,Database!$B$4:$B$1048576,$I$3,Database!$D$4:$D$1048576,{"SB1","SB2","BMS","MKS","DPS","KDR","MLG","SMD","PTK","JBR","MNO","JPU","MTR","BPP","KPG","PLU"},Database!$Q$4:$Q$1048576,"=2",Database!$F$4:$F$1048576,"Subdis")),0)))))))/$C$8</f>
        <v>0</v>
      </c>
      <c r="D19" s="23">
        <f>IF($I$4="Barat",IF($I$5="All",SUM(SUMIFS(Database!$Q$4:$Q$1048576,Database!$B$4:$B$1048576,$I$3,Database!$D$4:$D$1048576,{"JK2","MDN","TGR","PKB","PLB","BDL","PMS","PDG","BTM","BAC","JBI","PKP","BKL","LSE","PJT"},Database!$Q$4:$Q$1048576,"=3")),IF($I$5="Apotek",SUM(SUMIFS(Database!$Q$4:$Q$1048576,Database!$B$4:$B$1048576,$I$3,Database!$D$4:$D$1048576,{"JK2","MDN","TGR","PKB","PLB","BDL","PMS","PDG","BTM","BAC","JBI","PKP","BKL","LSE","PJT"},Database!$Q$4:$Q$1048576,"=3",Database!$F$4:$F$1048576,"Apotek")),IF($I$5="Rumah Sakit",SUM(SUMIFS(Database!$Q$4:$Q$1048576,Database!$B$4:$B$1048576,$I$3,Database!$D$4:$D$1048576,{"JK2","MDN","TGR","PKB","PLB","BDL","PMS","PDG","BTM","BAC","JBI","PKP","BKL","LSE","PJT"},Database!$Q$4:$Q$1048576,"=3",Database!$F$4:$F$1048576,"Rumah sakit")),IF($I$5="Subdis",SUM(SUMIFS(Database!$Q$4:$Q$1048576,Database!$B$4:$B$1048576,$I$3,Database!$D$4:$D$1048576,{"JK2","MDN","TGR","PKB","PLB","BDL","PMS","PDG","BTM","BAC","JBI","PKP","BKL","LSE","PJT"},Database!$Q$4:$Q$1048576,"=3",Database!$F$4:$F$1048576,"Subdis")),0)))),IF($I$4="Tengah",IF($I$5="All",SUM(SUMIFS(Database!$Q$4:$Q$1048576,Database!$B$4:$B$1048576,$I$3,Database!$D$4:$D$1048576,{"JK1","JK3","BDG","SMG","BGR","YOG","SLO","CRB","PWK","BKS","KDS","TGL","TSK","SKI","BD2"},Database!$Q$4:$Q$1048576,"=3")),IF($I$5="Apotek",SUM(SUMIFS(Database!$Q$4:$Q$1048576,Database!$B$4:$B$1048576,$I$3,Database!$D$4:$D$1048576,{"JK1","JK3","BDG","SMG","BGR","YOG","SLO","CRB","PWK","BKS","KDS","TGL","TSK","SKI","BD2"},Database!$Q$4:$Q$1048576,"=3",Database!$F$4:$F$1048576,"Apotek")),IF($I$5="Rumah Sakit",SUM(SUMIFS(Database!$Q$4:$Q$1048576,Database!$B$4:$B$1048576,$I$3,Database!$D$4:$D$1048576,{"JK1","JK3","BDG","SMG","BGR","YOG","SLO","CRB","PWK","BKS","KDS","TGL","TSK","SKI","BD2"},Database!$Q$4:$Q$1048576,"=3",Database!$F$4:$F$1048576,"Rumah sakit")),IF($I$5="Subdis",SUM(SUMIFS(Database!$Q$4:$Q$1048576,Database!$B$4:$B$1048576,$I$3,Database!$D$4:$D$1048576,{"JK1","JK3","BDG","SMG","BGR","YOG","SLO","CRB","PWK","BKS","KDS","TGL","TSK","SKI","BD2"},Database!$Q$4:$Q$1048576,"=3",Database!$F$4:$F$1048576,"Subdis")),0)))),IF($I$4="Timur",IF($I$5="All",SUM(SUMIFS(Database!$Q$4:$Q$1048576,Database!$B$4:$B$1048576,$I$3,Database!$D$4:$D$1048576,{"SB1","SB2","BMS","MKS","DPS","KDR","MLG","SMD","PTK","JBR","MNO","JPU","MTR","BPP","KPG","PLU"},Database!$Q$4:$Q$1048576,"=3")),IF($I$5="Apotek",SUM(SUMIFS(Database!$Q$4:$Q$1048576,Database!$B$4:$B$1048576,$I$3,Database!$D$4:$D$1048576,{"SB1","SB2","BMS","MKS","DPS","KDR","MLG","SMD","PTK","JBR","MNO","JPU","MTR","BPP","KPG","PLU"},Database!$Q$4:$Q$1048576,"=3",Database!$F$4:$F$1048576,"Apotek")),IF($I$5="Rumah Sakit",SUM(SUMIFS(Database!$Q$4:$Q$1048576,Database!$B$4:$B$1048576,$I$3,Database!$D$4:$D$1048576,{"SB1","SB2","BMS","MKS","DPS","KDR","MLG","SMD","PTK","JBR","MNO","JPU","MTR","BPP","KPG","PLU"},Database!$Q$4:$Q$1048576,"=3",Database!$F$4:$F$1048576,"Rumah sakit")),IF($I$5="Subdis",SUM(SUMIFS(Database!$Q$4:$Q$1048576,Database!$B$4:$B$1048576,$I$3,Database!$D$4:$D$1048576,{"SB1","SB2","BMS","MKS","DPS","KDR","MLG","SMD","PTK","JBR","MNO","JPU","MTR","BPP","KPG","PLU"},Database!$Q$4:$Q$1048576,"=3",Database!$F$4:$F$1048576,"Subdis")),0)))))))/$D$8</f>
        <v>0</v>
      </c>
      <c r="E19" s="23">
        <f>IF($I$4="Barat",IF($I$5="All",SUM(SUMIFS(Database!$Q$4:$Q$1048576,Database!$B$4:$B$1048576,$I$3,Database!$D$4:$D$1048576,{"JK2","MDN","TGR","PKB","PLB","BDL","PMS","PDG","BTM","BAC","JBI","PKP","BKL","LSE","PJT"},Database!$Q$4:$Q$1048576,"=4")),IF($I$5="Apotek",SUM(SUMIFS(Database!$Q$4:$Q$1048576,Database!$B$4:$B$1048576,$I$3,Database!$D$4:$D$1048576,{"JK2","MDN","TGR","PKB","PLB","BDL","PMS","PDG","BTM","BAC","JBI","PKP","BKL","LSE","PJT"},Database!$Q$4:$Q$1048576,"=4",Database!$F$4:$F$1048576,"Apotek")),IF($I$5="Rumah Sakit",SUM(SUMIFS(Database!$Q$4:$Q$1048576,Database!$B$4:$B$1048576,$I$3,Database!$D$4:$D$1048576,{"JK2","MDN","TGR","PKB","PLB","BDL","PMS","PDG","BTM","BAC","JBI","PKP","BKL","LSE","PJT"},Database!$Q$4:$Q$1048576,"=4",Database!$F$4:$F$1048576,"Rumah sakit")),IF($I$5="Subdis",SUM(SUMIFS(Database!$Q$4:$Q$1048576,Database!$B$4:$B$1048576,$I$3,Database!$D$4:$D$1048576,{"JK2","MDN","TGR","PKB","PLB","BDL","PMS","PDG","BTM","BAC","JBI","PKP","BKL","LSE","PJT"},Database!$Q$4:$Q$1048576,"=4",Database!$F$4:$F$1048576,"Subdis")),0)))),IF($I$4="Tengah",IF($I$5="All",SUM(SUMIFS(Database!$Q$4:$Q$1048576,Database!$B$4:$B$1048576,$I$3,Database!$D$4:$D$1048576,{"JK1","JK3","BDG","SMG","BGR","YOG","SLO","CRB","PWK","BKS","KDS","TGL","TSK","SKI","BD2"},Database!$Q$4:$Q$1048576,"=4")),IF($I$5="Apotek",SUM(SUMIFS(Database!$Q$4:$Q$1048576,Database!$B$4:$B$1048576,$I$3,Database!$D$4:$D$1048576,{"JK1","JK3","BDG","SMG","BGR","YOG","SLO","CRB","PWK","BKS","KDS","TGL","TSK","SKI","BD2"},Database!$Q$4:$Q$1048576,"=4",Database!$F$4:$F$1048576,"Apotek")),IF($I$5="Rumah Sakit",SUM(SUMIFS(Database!$Q$4:$Q$1048576,Database!$B$4:$B$1048576,$I$3,Database!$D$4:$D$1048576,{"JK1","JK3","BDG","SMG","BGR","YOG","SLO","CRB","PWK","BKS","KDS","TGL","TSK","SKI","BD2"},Database!$Q$4:$Q$1048576,"=4",Database!$F$4:$F$1048576,"Rumah sakit")),IF($I$5="Subdis",SUM(SUMIFS(Database!$Q$4:$Q$1048576,Database!$B$4:$B$1048576,$I$3,Database!$D$4:$D$1048576,{"JK1","JK3","BDG","SMG","BGR","YOG","SLO","CRB","PWK","BKS","KDS","TGL","TSK","SKI","BD2"},Database!$Q$4:$Q$1048576,"=4",Database!$F$4:$F$1048576,"Subdis")),0)))),IF($I$4="Timur",IF($I$5="All",SUM(SUMIFS(Database!$Q$4:$Q$1048576,Database!$B$4:$B$1048576,$I$3,Database!$D$4:$D$1048576,{"SB1","SB2","BMS","MKS","DPS","KDR","MLG","SMD","PTK","JBR","MNO","JPU","MTR","BPP","KPG","PLU"},Database!$Q$4:$Q$1048576,"=4")),IF($I$5="Apotek",SUM(SUMIFS(Database!$Q$4:$Q$1048576,Database!$B$4:$B$1048576,$I$3,Database!$D$4:$D$1048576,{"SB1","SB2","BMS","MKS","DPS","KDR","MLG","SMD","PTK","JBR","MNO","JPU","MTR","BPP","KPG","PLU"},Database!$Q$4:$Q$1048576,"=4",Database!$F$4:$F$1048576,"Apotek")),IF($I$5="Rumah Sakit",SUM(SUMIFS(Database!$Q$4:$Q$1048576,Database!$B$4:$B$1048576,$I$3,Database!$D$4:$D$1048576,{"SB1","SB2","BMS","MKS","DPS","KDR","MLG","SMD","PTK","JBR","MNO","JPU","MTR","BPP","KPG","PLU"},Database!$Q$4:$Q$1048576,"=4",Database!$F$4:$F$1048576,"Rumah sakit")),IF($I$5="Subdis",SUM(SUMIFS(Database!$Q$4:$Q$1048576,Database!$B$4:$B$1048576,$I$3,Database!$D$4:$D$1048576,{"SB1","SB2","BMS","MKS","DPS","KDR","MLG","SMD","PTK","JBR","MNO","JPU","MTR","BPP","KPG","PLU"},Database!$Q$4:$Q$1048576,"=4",Database!$F$4:$F$1048576,"Subdis")),0)))))))/$E$8</f>
        <v>0</v>
      </c>
      <c r="F19" s="9">
        <f t="shared" si="0"/>
        <v>0</v>
      </c>
      <c r="G19" s="10" t="e">
        <f t="shared" si="10"/>
        <v>#DIV/0!</v>
      </c>
      <c r="H19" s="23">
        <f>IF($I$4="Barat",IF($I$5="All",SUM(SUMIFS(Database!$AR$4:$AR$1048576,Database!$AC$4:$AC$1048576,$I$3,Database!$AE$4:$AE$1048576,{"JK2","MDN","TGR","PKB","PLB","BDL","PMS","PDG","BTM","BAC","JBI","PKP","BKL","LSE","PJT"},Database!$AR$4:$AR$1048576,"=1")),IF($I$5="Apotek",SUM(SUMIFS(Database!$AR$4:$AR$1048576,Database!$AC$4:$AC$1048576,$I$3,Database!$AE$4:$AE$1048576,{"JK2","MDN","TGR","PKB","PLB","BDL","PMS","PDG","BTM","BAC","JBI","PKP","BKL","LSE","PJT"},Database!$AR$4:$AR$1048576,"=1",Database!$AG$4:$AG$1048576,"Apotek")),IF($I$5="Rumah Sakit",SUM(SUMIFS(Database!$AR$4:$AR$1048576,Database!$AC$4:$AC$1048576,$I$3,Database!$AE$4:$AE$1048576,{"JK2","MDN","TGR","PKB","PLB","BDL","PMS","PDG","BTM","BAC","JBI","PKP","BKL","LSE","PJT"},Database!$AR$4:$AR$1048576,"=1",Database!$AG$4:$AG$1048576,"Rumah sakit")),IF($I$5="Subdis",SUM(SUMIFS(Database!$AR$4:$AR$1048576,Database!$AC$4:$AC$1048576,$I$3,Database!$AE$4:$AE$1048576,{"JK2","MDN","TGR","PKB","PLB","BDL","PMS","PDG","BTM","BAC","JBI","PKP","BKL","LSE","PJT"},Database!$AR$4:$AR$1048576,"=1",Database!$AG$4:$AG$1048576,"Subdis")),0)))),IF($I$4="Tengah",IF($I$5="All",SUM(SUMIFS(Database!$AR$4:$AR$1048576,Database!$AC$4:$AC$1048576,$I$3,Database!$AE$4:$AE$1048576,{"JK1","JK3","BDG","SMG","BGR","YOG","SLO","CRB","PWK","BKS","KDS","TGL","TSK","SKI","BD2"},Database!$AR$4:$AR$1048576,"=1")),IF($I$5="Apotek",SUM(SUMIFS(Database!$AR$4:$AR$1048576,Database!$AC$4:$AC$1048576,$I$3,Database!$AE$4:$AE$1048576,{"JK1","JK3","BDG","SMG","BGR","YOG","SLO","CRB","PWK","BKS","KDS","TGL","TSK","SKI","BD2"},Database!$AR$4:$AR$1048576,"=1",Database!$AG$4:$AG$1048576,"Apotek")),IF($I$5="Rumah Sakit",SUM(SUMIFS(Database!$AR$4:$AR$1048576,Database!$AC$4:$AC$1048576,$I$3,Database!$AE$4:$AE$1048576,{"JK1","JK3","BDG","SMG","BGR","YOG","SLO","CRB","PWK","BKS","KDS","TGL","TSK","SKI","BD2"},Database!$AR$4:$AR$1048576,"=1",Database!$AG$4:$AG$1048576,"Rumah sakit")),IF($I$5="Subdis",SUM(SUMIFS(Database!$AR$4:$AR$1048576,Database!$AC$4:$AC$1048576,$I$3,Database!$AE$4:$AE$1048576,{"JK1","JK3","BDG","SMG","BGR","YOG","SLO","CRB","PWK","BKS","KDS","TGL","TSK","SKI","BD2"},Database!$AR$4:$AR$1048576,"=1",Database!$AG$4:$AG$1048576,"Subdis")),0)))),IF($I$4="Timur",IF($I$5="All",SUM(SUMIFS(Database!$AR$4:$AR$1048576,Database!$AC$4:$AC$1048576,$I$3,Database!$AE$4:$AE$1048576,{"SB1","SB2","BMS","MKS","DPS","KDR","MLG","SMD","PTK","JBR","MNO","JPU","MTR","BPP","KPG","PLU"},Database!$AR$4:$AR$1048576,"=1")),IF($I$5="Apotek",SUM(SUMIFS(Database!$AR$4:$AR$1048576,Database!$AC$4:$AC$1048576,$I$3,Database!$AE$4:$AE$1048576,{"SB1","SB2","BMS","MKS","DPS","KDR","MLG","SMD","PTK","JBR","MNO","JPU","MTR","BPP","KPG","PLU"},Database!$AR$4:$AR$1048576,"=1",Database!$AG$4:$AG$1048576,"Apotek")),IF($I$5="Rumah Sakit",SUM(SUMIFS(Database!$AR$4:$AR$1048576,Database!$AC$4:$AC$1048576,$I$3,Database!$AE$4:$AE$1048576,{"SB1","SB2","BMS","MKS","DPS","KDR","MLG","SMD","PTK","JBR","MNO","JPU","MTR","BPP","KPG","PLU"},Database!$AR$4:$AR$1048576,"=1",Database!$AG$4:$AG$1048576,"Rumah sakit")),IF($I$5="Subdis",SUM(SUMIFS(Database!$AR$4:$AR$1048576,Database!$AC$4:$AC$1048576,$I$3,Database!$AE$4:$AE$1048576,{"SB1","SB2","BMS","MKS","DPS","KDR","MLG","SMD","PTK","JBR","MNO","JPU","MTR","BPP","KPG","PLU"},Database!$AR$4:$AR$1048576,"=1",Database!$AG$4:$AG$1048576,"Subdis")),0)))))))/$B$8</f>
        <v>0</v>
      </c>
      <c r="I19" s="23">
        <f>IF($I$4="Barat",IF($I$5="All",SUM(SUMIFS(Database!$AR$4:$AR$1048576,Database!$AC$4:$AC$1048576,$I$3,Database!$AE$4:$AE$1048576,{"JK2","MDN","TGR","PKB","PLB","BDL","PMS","PDG","BTM","BAC","JBI","PKP","BKL","LSE","PJT"},Database!$AR$4:$AR$1048576,"=2")),IF($I$5="Apotek",SUM(SUMIFS(Database!$AR$4:$AR$1048576,Database!$AC$4:$AC$1048576,$I$3,Database!$AE$4:$AE$1048576,{"JK2","MDN","TGR","PKB","PLB","BDL","PMS","PDG","BTM","BAC","JBI","PKP","BKL","LSE","PJT"},Database!$AR$4:$AR$1048576,"=2",Database!$AG$4:$AG$1048576,"Apotek")),IF($I$5="Rumah Sakit",SUM(SUMIFS(Database!$AR$4:$AR$1048576,Database!$AC$4:$AC$1048576,$I$3,Database!$AE$4:$AE$1048576,{"JK2","MDN","TGR","PKB","PLB","BDL","PMS","PDG","BTM","BAC","JBI","PKP","BKL","LSE","PJT"},Database!$AR$4:$AR$1048576,"=2",Database!$AG$4:$AG$1048576,"Rumah sakit")),IF($I$5="Subdis",SUM(SUMIFS(Database!$AR$4:$AR$1048576,Database!$AC$4:$AC$1048576,$I$3,Database!$AE$4:$AE$1048576,{"JK2","MDN","TGR","PKB","PLB","BDL","PMS","PDG","BTM","BAC","JBI","PKP","BKL","LSE","PJT"},Database!$AR$4:$AR$1048576,"=2",Database!$AG$4:$AG$1048576,"Subdis")),0)))),IF($I$4="Tengah",IF($I$5="All",SUM(SUMIFS(Database!$AR$4:$AR$1048576,Database!$AC$4:$AC$1048576,$I$3,Database!$AE$4:$AE$1048576,{"JK1","JK3","BDG","SMG","BGR","YOG","SLO","CRB","PWK","BKS","KDS","TGL","TSK","SKI","BD2"},Database!$AR$4:$AR$1048576,"=2")),IF($I$5="Apotek",SUM(SUMIFS(Database!$AR$4:$AR$1048576,Database!$AC$4:$AC$1048576,$I$3,Database!$AE$4:$AE$1048576,{"JK1","JK3","BDG","SMG","BGR","YOG","SLO","CRB","PWK","BKS","KDS","TGL","TSK","SKI","BD2"},Database!$AR$4:$AR$1048576,"=2",Database!$AG$4:$AG$1048576,"Apotek")),IF($I$5="Rumah Sakit",SUM(SUMIFS(Database!$AR$4:$AR$1048576,Database!$AC$4:$AC$1048576,$I$3,Database!$AE$4:$AE$1048576,{"JK1","JK3","BDG","SMG","BGR","YOG","SLO","CRB","PWK","BKS","KDS","TGL","TSK","SKI","BD2"},Database!$AR$4:$AR$1048576,"=2",Database!$AG$4:$AG$1048576,"Rumah sakit")),IF($I$5="Subdis",SUM(SUMIFS(Database!$AR$4:$AR$1048576,Database!$AC$4:$AC$1048576,$I$3,Database!$AE$4:$AE$1048576,{"JK1","JK3","BDG","SMG","BGR","YOG","SLO","CRB","PWK","BKS","KDS","TGL","TSK","SKI","BD2"},Database!$AR$4:$AR$1048576,"=2",Database!$AG$4:$AG$1048576,"Subdis")),0)))),IF($I$4="Timur",IF($I$5="All",SUM(SUMIFS(Database!$AR$4:$AR$1048576,Database!$AC$4:$AC$1048576,$I$3,Database!$AE$4:$AE$1048576,{"SB1","SB2","BMS","MKS","DPS","KDR","MLG","SMD","PTK","JBR","MNO","JPU","MTR","BPP","KPG","PLU"},Database!$AR$4:$AR$1048576,"=2")),IF($I$5="Apotek",SUM(SUMIFS(Database!$AR$4:$AR$1048576,Database!$AC$4:$AC$1048576,$I$3,Database!$AE$4:$AE$1048576,{"SB1","SB2","BMS","MKS","DPS","KDR","MLG","SMD","PTK","JBR","MNO","JPU","MTR","BPP","KPG","PLU"},Database!$AR$4:$AR$1048576,"=2",Database!$AG$4:$AG$1048576,"Apotek")),IF($I$5="Rumah Sakit",SUM(SUMIFS(Database!$AR$4:$AR$1048576,Database!$AC$4:$AC$1048576,$I$3,Database!$AE$4:$AE$1048576,{"SB1","SB2","BMS","MKS","DPS","KDR","MLG","SMD","PTK","JBR","MNO","JPU","MTR","BPP","KPG","PLU"},Database!$AR$4:$AR$1048576,"=2",Database!$AG$4:$AG$1048576,"Rumah sakit")),IF($I$5="Subdis",SUM(SUMIFS(Database!$AR$4:$AR$1048576,Database!$AC$4:$AC$1048576,$I$3,Database!$AE$4:$AE$1048576,{"SB1","SB2","BMS","MKS","DPS","KDR","MLG","SMD","PTK","JBR","MNO","JPU","MTR","BPP","KPG","PLU"},Database!$AR$4:$AR$1048576,"=2",Database!$AG$4:$AG$1048576,"Subdis")),0)))))))/$C$8</f>
        <v>0</v>
      </c>
      <c r="J19" s="23">
        <f>IF($I$4="Barat",IF($I$5="All",SUM(SUMIFS(Database!$AR$4:$AR$1048576,Database!$AC$4:$AC$1048576,$I$3,Database!$AE$4:$AE$1048576,{"JK2","MDN","TGR","PKB","PLB","BDL","PMS","PDG","BTM","BAC","JBI","PKP","BKL","LSE","PJT"},Database!$AR$4:$AR$1048576,"=3")),IF($I$5="Apotek",SUM(SUMIFS(Database!$AR$4:$AR$1048576,Database!$AC$4:$AC$1048576,$I$3,Database!$AE$4:$AE$1048576,{"JK2","MDN","TGR","PKB","PLB","BDL","PMS","PDG","BTM","BAC","JBI","PKP","BKL","LSE","PJT"},Database!$AR$4:$AR$1048576,"=3",Database!$AG$4:$AG$1048576,"Apotek")),IF($I$5="Rumah Sakit",SUM(SUMIFS(Database!$AR$4:$AR$1048576,Database!$AC$4:$AC$1048576,$I$3,Database!$AE$4:$AE$1048576,{"JK2","MDN","TGR","PKB","PLB","BDL","PMS","PDG","BTM","BAC","JBI","PKP","BKL","LSE","PJT"},Database!$AR$4:$AR$1048576,"=3",Database!$AG$4:$AG$1048576,"Rumah sakit")),IF($I$5="Subdis",SUM(SUMIFS(Database!$AR$4:$AR$1048576,Database!$AC$4:$AC$1048576,$I$3,Database!$AE$4:$AE$1048576,{"JK2","MDN","TGR","PKB","PLB","BDL","PMS","PDG","BTM","BAC","JBI","PKP","BKL","LSE","PJT"},Database!$AR$4:$AR$1048576,"=3",Database!$AG$4:$AG$1048576,"Subdis")),0)))),IF($I$4="Tengah",IF($I$5="All",SUM(SUMIFS(Database!$AR$4:$AR$1048576,Database!$AC$4:$AC$1048576,$I$3,Database!$AE$4:$AE$1048576,{"JK1","JK3","BDG","SMG","BGR","YOG","SLO","CRB","PWK","BKS","KDS","TGL","TSK","SKI","BD2"},Database!$AR$4:$AR$1048576,"=3")),IF($I$5="Apotek",SUM(SUMIFS(Database!$AR$4:$AR$1048576,Database!$AC$4:$AC$1048576,$I$3,Database!$AE$4:$AE$1048576,{"JK1","JK3","BDG","SMG","BGR","YOG","SLO","CRB","PWK","BKS","KDS","TGL","TSK","SKI","BD2"},Database!$AR$4:$AR$1048576,"=3",Database!$AG$4:$AG$1048576,"Apotek")),IF($I$5="Rumah Sakit",SUM(SUMIFS(Database!$AR$4:$AR$1048576,Database!$AC$4:$AC$1048576,$I$3,Database!$AE$4:$AE$1048576,{"JK1","JK3","BDG","SMG","BGR","YOG","SLO","CRB","PWK","BKS","KDS","TGL","TSK","SKI","BD2"},Database!$AR$4:$AR$1048576,"=3",Database!$AG$4:$AG$1048576,"Rumah sakit")),IF($I$5="Subdis",SUM(SUMIFS(Database!$AR$4:$AR$1048576,Database!$AC$4:$AC$1048576,$I$3,Database!$AE$4:$AE$1048576,{"JK1","JK3","BDG","SMG","BGR","YOG","SLO","CRB","PWK","BKS","KDS","TGL","TSK","SKI","BD2"},Database!$AR$4:$AR$1048576,"=3",Database!$AG$4:$AG$1048576,"Subdis")),0)))),IF($I$4="Timur",IF($I$5="All",SUM(SUMIFS(Database!$AR$4:$AR$1048576,Database!$AC$4:$AC$1048576,$I$3,Database!$AE$4:$AE$1048576,{"SB1","SB2","BMS","MKS","DPS","KDR","MLG","SMD","PTK","JBR","MNO","JPU","MTR","BPP","KPG","PLU"},Database!$AR$4:$AR$1048576,"=3")),IF($I$5="Apotek",SUM(SUMIFS(Database!$AR$4:$AR$1048576,Database!$AC$4:$AC$1048576,$I$3,Database!$AE$4:$AE$1048576,{"SB1","SB2","BMS","MKS","DPS","KDR","MLG","SMD","PTK","JBR","MNO","JPU","MTR","BPP","KPG","PLU"},Database!$AR$4:$AR$1048576,"=3",Database!$AG$4:$AG$1048576,"Apotek")),IF($I$5="Rumah Sakit",SUM(SUMIFS(Database!$AR$4:$AR$1048576,Database!$AC$4:$AC$1048576,$I$3,Database!$AE$4:$AE$1048576,{"SB1","SB2","BMS","MKS","DPS","KDR","MLG","SMD","PTK","JBR","MNO","JPU","MTR","BPP","KPG","PLU"},Database!$AR$4:$AR$1048576,"=3",Database!$AG$4:$AG$1048576,"Rumah sakit")),IF($I$5="Subdis",SUM(SUMIFS(Database!$AR$4:$AR$1048576,Database!$AC$4:$AC$1048576,$I$3,Database!$AE$4:$AE$1048576,{"SB1","SB2","BMS","MKS","DPS","KDR","MLG","SMD","PTK","JBR","MNO","JPU","MTR","BPP","KPG","PLU"},Database!$AR$4:$AR$1048576,"=3",Database!$AG$4:$AG$1048576,"Subdis")),0)))))))/$D$8</f>
        <v>0</v>
      </c>
      <c r="K19" s="23">
        <f>IF($I$4="Barat",IF($I$5="All",SUM(SUMIFS(Database!$AR$4:$AR$1048576,Database!$AC$4:$AC$1048576,$I$3,Database!$AE$4:$AE$1048576,{"JK2","MDN","TGR","PKB","PLB","BDL","PMS","PDG","BTM","BAC","JBI","PKP","BKL","LSE","PJT"},Database!$AR$4:$AR$1048576,"=4")),IF($I$5="Apotek",SUM(SUMIFS(Database!$AR$4:$AR$1048576,Database!$AC$4:$AC$1048576,$I$3,Database!$AE$4:$AE$1048576,{"JK2","MDN","TGR","PKB","PLB","BDL","PMS","PDG","BTM","BAC","JBI","PKP","BKL","LSE","PJT"},Database!$AR$4:$AR$1048576,"=4",Database!$AG$4:$AG$1048576,"Apotek")),IF($I$5="Rumah Sakit",SUM(SUMIFS(Database!$AR$4:$AR$1048576,Database!$AC$4:$AC$1048576,$I$3,Database!$AE$4:$AE$1048576,{"JK2","MDN","TGR","PKB","PLB","BDL","PMS","PDG","BTM","BAC","JBI","PKP","BKL","LSE","PJT"},Database!$AR$4:$AR$1048576,"=4",Database!$AG$4:$AG$1048576,"Rumah sakit")),IF($I$5="Subdis",SUM(SUMIFS(Database!$AR$4:$AR$1048576,Database!$AC$4:$AC$1048576,$I$3,Database!$AE$4:$AE$1048576,{"JK2","MDN","TGR","PKB","PLB","BDL","PMS","PDG","BTM","BAC","JBI","PKP","BKL","LSE","PJT"},Database!$AR$4:$AR$1048576,"=4",Database!$AG$4:$AG$1048576,"Subdis")),0)))),IF($I$4="Tengah",IF($I$5="All",SUM(SUMIFS(Database!$AR$4:$AR$1048576,Database!$AC$4:$AC$1048576,$I$3,Database!$AE$4:$AE$1048576,{"JK1","JK3","BDG","SMG","BGR","YOG","SLO","CRB","PWK","BKS","KDS","TGL","TSK","SKI","BD2"},Database!$AR$4:$AR$1048576,"=4")),IF($I$5="Apotek",SUM(SUMIFS(Database!$AR$4:$AR$1048576,Database!$AC$4:$AC$1048576,$I$3,Database!$AE$4:$AE$1048576,{"JK1","JK3","BDG","SMG","BGR","YOG","SLO","CRB","PWK","BKS","KDS","TGL","TSK","SKI","BD2"},Database!$AR$4:$AR$1048576,"=4",Database!$AG$4:$AG$1048576,"Apotek")),IF($I$5="Rumah Sakit",SUM(SUMIFS(Database!$AR$4:$AR$1048576,Database!$AC$4:$AC$1048576,$I$3,Database!$AE$4:$AE$1048576,{"JK1","JK3","BDG","SMG","BGR","YOG","SLO","CRB","PWK","BKS","KDS","TGL","TSK","SKI","BD2"},Database!$AR$4:$AR$1048576,"=4",Database!$AG$4:$AG$1048576,"Rumah sakit")),IF($I$5="Subdis",SUM(SUMIFS(Database!$AR$4:$AR$1048576,Database!$AC$4:$AC$1048576,$I$3,Database!$AE$4:$AE$1048576,{"JK1","JK3","BDG","SMG","BGR","YOG","SLO","CRB","PWK","BKS","KDS","TGL","TSK","SKI","BD2"},Database!$AR$4:$AR$1048576,"=4",Database!$AG$4:$AG$1048576,"Subdis")),0)))),IF($I$4="Timur",IF($I$5="All",SUM(SUMIFS(Database!$AR$4:$AR$1048576,Database!$AC$4:$AC$1048576,$I$3,Database!$AE$4:$AE$1048576,{"SB1","SB2","BMS","MKS","DPS","KDR","MLG","SMD","PTK","JBR","MNO","JPU","MTR","BPP","KPG","PLU"},Database!$AR$4:$AR$1048576,"=4")),IF($I$5="Apotek",SUM(SUMIFS(Database!$AR$4:$AR$1048576,Database!$AC$4:$AC$1048576,$I$3,Database!$AE$4:$AE$1048576,{"SB1","SB2","BMS","MKS","DPS","KDR","MLG","SMD","PTK","JBR","MNO","JPU","MTR","BPP","KPG","PLU"},Database!$AR$4:$AR$1048576,"=4",Database!$AG$4:$AG$1048576,"Apotek")),IF($I$5="Rumah Sakit",SUM(SUMIFS(Database!$AR$4:$AR$1048576,Database!$AC$4:$AC$1048576,$I$3,Database!$AE$4:$AE$1048576,{"SB1","SB2","BMS","MKS","DPS","KDR","MLG","SMD","PTK","JBR","MNO","JPU","MTR","BPP","KPG","PLU"},Database!$AR$4:$AR$1048576,"=4",Database!$AG$4:$AG$1048576,"Rumah sakit")),IF($I$5="Subdis",SUM(SUMIFS(Database!$AR$4:$AR$1048576,Database!$AC$4:$AC$1048576,$I$3,Database!$AE$4:$AE$1048576,{"SB1","SB2","BMS","MKS","DPS","KDR","MLG","SMD","PTK","JBR","MNO","JPU","MTR","BPP","KPG","PLU"},Database!$AR$4:$AR$1048576,"=4",Database!$AG$4:$AG$1048576,"Subdis")),0)))))))/$E$8</f>
        <v>0</v>
      </c>
      <c r="L19" s="9">
        <f t="shared" si="1"/>
        <v>0</v>
      </c>
      <c r="M19" s="10" t="e">
        <f t="shared" si="2"/>
        <v>#DIV/0!</v>
      </c>
      <c r="N19" s="10" t="e">
        <f t="shared" si="3"/>
        <v>#DIV/0!</v>
      </c>
      <c r="O19" s="32" t="e">
        <f t="shared" si="4"/>
        <v>#DIV/0!</v>
      </c>
      <c r="P19" s="11" t="s">
        <v>56</v>
      </c>
      <c r="Q19" s="32" t="e">
        <f t="shared" si="12"/>
        <v>#DIV/0!</v>
      </c>
      <c r="R19" s="81" t="e">
        <f t="shared" si="6"/>
        <v>#DIV/0!</v>
      </c>
      <c r="S19" s="81" t="e">
        <f t="shared" si="7"/>
        <v>#DIV/0!</v>
      </c>
      <c r="T19" s="81" t="e">
        <f t="shared" si="13"/>
        <v>#DIV/0!</v>
      </c>
      <c r="U19" s="81" t="e">
        <f t="shared" si="14"/>
        <v>#DIV/0!</v>
      </c>
      <c r="V19" s="255"/>
    </row>
    <row r="20" spans="1:22" ht="18" x14ac:dyDescent="0.35">
      <c r="A20" s="9" t="s">
        <v>25</v>
      </c>
      <c r="B20" s="23">
        <f>IF($I$4="Barat",IF($I$5="All",SUM(SUMIFS(Database!$R$4:$R$1048576,Database!$B$4:$B$1048576,$I$3,Database!$D$4:$D$1048576,{"JK2","MDN","TGR","PKB","PLB","BDL","PMS","PDG","BTM","BAC","JBI","PKP","BKL","LSE","PJT"},Database!$R$4:$R$1048576,"=1")),IF($I$5="Apotek",SUM(SUMIFS(Database!$R$4:$R$1048576,Database!$B$4:$B$1048576,$I$3,Database!$D$4:$D$1048576,{"JK2","MDN","TGR","PKB","PLB","BDL","PMS","PDG","BTM","BAC","JBI","PKP","BKL","LSE","PJT"},Database!$R$4:$R$1048576,"=1",Database!$F$4:$F$1048576,"Apotek")),IF($I$5="Rumah Sakit",SUM(SUMIFS(Database!$R$4:$R$1048576,Database!$B$4:$B$1048576,$I$3,Database!$D$4:$D$1048576,{"JK2","MDN","TGR","PKB","PLB","BDL","PMS","PDG","BTM","BAC","JBI","PKP","BKL","LSE","PJT"},Database!$R$4:$R$1048576,"=1",Database!$F$4:$F$1048576,"Rumah sakit")),IF($I$5="Subdis",SUM(SUMIFS(Database!$R$4:$R$1048576,Database!$B$4:$B$1048576,$I$3,Database!$D$4:$D$1048576,{"JK2","MDN","TGR","PKB","PLB","BDL","PMS","PDG","BTM","BAC","JBI","PKP","BKL","LSE","PJT"},Database!$R$4:$R$1048576,"=1",Database!$F$4:$F$1048576,"Subdis")),0)))),IF($I$4="Tengah",IF($I$5="All",SUM(SUMIFS(Database!$R$4:$R$1048576,Database!$B$4:$B$1048576,$I$3,Database!$D$4:$D$1048576,{"JK1","JK3","BDG","SMG","BGR","YOG","SLO","CRB","PWK","BKS","KDS","TGL","TSK","SKI","BD2"},Database!$R$4:$R$1048576,"=1")),IF($I$5="Apotek",SUM(SUMIFS(Database!$R$4:$R$1048576,Database!$B$4:$B$1048576,$I$3,Database!$D$4:$D$1048576,{"JK1","JK3","BDG","SMG","BGR","YOG","SLO","CRB","PWK","BKS","KDS","TGL","TSK","SKI","BD2"},Database!$R$4:$R$1048576,"=1",Database!$F$4:$F$1048576,"Apotek")),IF($I$5="Rumah Sakit",SUM(SUMIFS(Database!$R$4:$R$1048576,Database!$B$4:$B$1048576,$I$3,Database!$D$4:$D$1048576,{"JK1","JK3","BDG","SMG","BGR","YOG","SLO","CRB","PWK","BKS","KDS","TGL","TSK","SKI","BD2"},Database!$R$4:$R$1048576,"=1",Database!$F$4:$F$1048576,"Rumah sakit")),IF($I$5="Subdis",SUM(SUMIFS(Database!$R$4:$R$1048576,Database!$B$4:$B$1048576,$I$3,Database!$D$4:$D$1048576,{"JK1","JK3","BDG","SMG","BGR","YOG","SLO","CRB","PWK","BKS","KDS","TGL","TSK","SKI","BD2"},Database!$R$4:$R$1048576,"=1",Database!$F$4:$F$1048576,"Subdis")),0)))),IF($I$4="Timur",IF($I$5="All",SUM(SUMIFS(Database!$R$4:$R$1048576,Database!$B$4:$B$1048576,$I$3,Database!$D$4:$D$1048576,{"SB1","SB2","BMS","MKS","DPS","KDR","MLG","SMD","PTK","JBR","MNO","JPU","MTR","BPP","KPG","PLU"},Database!$R$4:$R$1048576,"=1")),IF($I$5="Apotek",SUM(SUMIFS(Database!$R$4:$R$1048576,Database!$B$4:$B$1048576,$I$3,Database!$D$4:$D$1048576,{"SB1","SB2","BMS","MKS","DPS","KDR","MLG","SMD","PTK","JBR","MNO","JPU","MTR","BPP","KPG","PLU"},Database!$R$4:$R$1048576,"=1",Database!$F$4:$F$1048576,"Apotek")),IF($I$5="Rumah Sakit",SUM(SUMIFS(Database!$R$4:$R$1048576,Database!$B$4:$B$1048576,$I$3,Database!$D$4:$D$1048576,{"SB1","SB2","BMS","MKS","DPS","KDR","MLG","SMD","PTK","JBR","MNO","JPU","MTR","BPP","KPG","PLU"},Database!$R$4:$R$1048576,"=1",Database!$F$4:$F$1048576,"Rumah sakit")),IF($I$5="Subdis",SUM(SUMIFS(Database!$R$4:$R$1048576,Database!$B$4:$B$1048576,$I$3,Database!$D$4:$D$1048576,{"SB1","SB2","BMS","MKS","DPS","KDR","MLG","SMD","PTK","JBR","MNO","JPU","MTR","BPP","KPG","PLU"},Database!$R$4:$R$1048576,"=1",Database!$F$4:$F$1048576,"Subdis")),0)))))))/$B$8</f>
        <v>0</v>
      </c>
      <c r="C20" s="23">
        <f>IF($I$4="Barat",IF($I$5="All",SUM(SUMIFS(Database!$R$4:$R$1048576,Database!$B$4:$B$1048576,$I$3,Database!$D$4:$D$1048576,{"JK2","MDN","TGR","PKB","PLB","BDL","PMS","PDG","BTM","BAC","JBI","PKP","BKL","LSE","PJT"},Database!$R$4:$R$1048576,"=2")),IF($I$5="Apotek",SUM(SUMIFS(Database!$R$4:$R$1048576,Database!$B$4:$B$1048576,$I$3,Database!$D$4:$D$1048576,{"JK2","MDN","TGR","PKB","PLB","BDL","PMS","PDG","BTM","BAC","JBI","PKP","BKL","LSE","PJT"},Database!$R$4:$R$1048576,"=2",Database!$F$4:$F$1048576,"Apotek")),IF($I$5="Rumah Sakit",SUM(SUMIFS(Database!$R$4:$R$1048576,Database!$B$4:$B$1048576,$I$3,Database!$D$4:$D$1048576,{"JK2","MDN","TGR","PKB","PLB","BDL","PMS","PDG","BTM","BAC","JBI","PKP","BKL","LSE","PJT"},Database!$R$4:$R$1048576,"=2",Database!$F$4:$F$1048576,"Rumah sakit")),IF($I$5="Subdis",SUM(SUMIFS(Database!$R$4:$R$1048576,Database!$B$4:$B$1048576,$I$3,Database!$D$4:$D$1048576,{"JK2","MDN","TGR","PKB","PLB","BDL","PMS","PDG","BTM","BAC","JBI","PKP","BKL","LSE","PJT"},Database!$R$4:$R$1048576,"=2",Database!$F$4:$F$1048576,"Subdis")),0)))),IF($I$4="Tengah",IF($I$5="All",SUM(SUMIFS(Database!$R$4:$R$1048576,Database!$B$4:$B$1048576,$I$3,Database!$D$4:$D$1048576,{"JK1","JK3","BDG","SMG","BGR","YOG","SLO","CRB","PWK","BKS","KDS","TGL","TSK","SKI","BD2"},Database!$R$4:$R$1048576,"=2")),IF($I$5="Apotek",SUM(SUMIFS(Database!$R$4:$R$1048576,Database!$B$4:$B$1048576,$I$3,Database!$D$4:$D$1048576,{"JK1","JK3","BDG","SMG","BGR","YOG","SLO","CRB","PWK","BKS","KDS","TGL","TSK","SKI","BD2"},Database!$R$4:$R$1048576,"=2",Database!$F$4:$F$1048576,"Apotek")),IF($I$5="Rumah Sakit",SUM(SUMIFS(Database!$R$4:$R$1048576,Database!$B$4:$B$1048576,$I$3,Database!$D$4:$D$1048576,{"JK1","JK3","BDG","SMG","BGR","YOG","SLO","CRB","PWK","BKS","KDS","TGL","TSK","SKI","BD2"},Database!$R$4:$R$1048576,"=2",Database!$F$4:$F$1048576,"Rumah sakit")),IF($I$5="Subdis",SUM(SUMIFS(Database!$R$4:$R$1048576,Database!$B$4:$B$1048576,$I$3,Database!$D$4:$D$1048576,{"JK1","JK3","BDG","SMG","BGR","YOG","SLO","CRB","PWK","BKS","KDS","TGL","TSK","SKI","BD2"},Database!$R$4:$R$1048576,"=2",Database!$F$4:$F$1048576,"Subdis")),0)))),IF($I$4="Timur",IF($I$5="All",SUM(SUMIFS(Database!$R$4:$R$1048576,Database!$B$4:$B$1048576,$I$3,Database!$D$4:$D$1048576,{"SB1","SB2","BMS","MKS","DPS","KDR","MLG","SMD","PTK","JBR","MNO","JPU","MTR","BPP","KPG","PLU"},Database!$R$4:$R$1048576,"=2")),IF($I$5="Apotek",SUM(SUMIFS(Database!$R$4:$R$1048576,Database!$B$4:$B$1048576,$I$3,Database!$D$4:$D$1048576,{"SB1","SB2","BMS","MKS","DPS","KDR","MLG","SMD","PTK","JBR","MNO","JPU","MTR","BPP","KPG","PLU"},Database!$R$4:$R$1048576,"=2",Database!$F$4:$F$1048576,"Apotek")),IF($I$5="Rumah Sakit",SUM(SUMIFS(Database!$R$4:$R$1048576,Database!$B$4:$B$1048576,$I$3,Database!$D$4:$D$1048576,{"SB1","SB2","BMS","MKS","DPS","KDR","MLG","SMD","PTK","JBR","MNO","JPU","MTR","BPP","KPG","PLU"},Database!$R$4:$R$1048576,"=2",Database!$F$4:$F$1048576,"Rumah sakit")),IF($I$5="Subdis",SUM(SUMIFS(Database!$R$4:$R$1048576,Database!$B$4:$B$1048576,$I$3,Database!$D$4:$D$1048576,{"SB1","SB2","BMS","MKS","DPS","KDR","MLG","SMD","PTK","JBR","MNO","JPU","MTR","BPP","KPG","PLU"},Database!$R$4:$R$1048576,"=2",Database!$F$4:$F$1048576,"Subdis")),0)))))))/$C$8</f>
        <v>0</v>
      </c>
      <c r="D20" s="23">
        <f>IF($I$4="Barat",IF($I$5="All",SUM(SUMIFS(Database!$R$4:$R$1048576,Database!$B$4:$B$1048576,$I$3,Database!$D$4:$D$1048576,{"JK2","MDN","TGR","PKB","PLB","BDL","PMS","PDG","BTM","BAC","JBI","PKP","BKL","LSE","PJT"},Database!$R$4:$R$1048576,"=3")),IF($I$5="Apotek",SUM(SUMIFS(Database!$R$4:$R$1048576,Database!$B$4:$B$1048576,$I$3,Database!$D$4:$D$1048576,{"JK2","MDN","TGR","PKB","PLB","BDL","PMS","PDG","BTM","BAC","JBI","PKP","BKL","LSE","PJT"},Database!$R$4:$R$1048576,"=3",Database!$F$4:$F$1048576,"Apotek")),IF($I$5="Rumah Sakit",SUM(SUMIFS(Database!$R$4:$R$1048576,Database!$B$4:$B$1048576,$I$3,Database!$D$4:$D$1048576,{"JK2","MDN","TGR","PKB","PLB","BDL","PMS","PDG","BTM","BAC","JBI","PKP","BKL","LSE","PJT"},Database!$R$4:$R$1048576,"=3",Database!$F$4:$F$1048576,"Rumah sakit")),IF($I$5="Subdis",SUM(SUMIFS(Database!$R$4:$R$1048576,Database!$B$4:$B$1048576,$I$3,Database!$D$4:$D$1048576,{"JK2","MDN","TGR","PKB","PLB","BDL","PMS","PDG","BTM","BAC","JBI","PKP","BKL","LSE","PJT"},Database!$R$4:$R$1048576,"=3",Database!$F$4:$F$1048576,"Subdis")),0)))),IF($I$4="Tengah",IF($I$5="All",SUM(SUMIFS(Database!$R$4:$R$1048576,Database!$B$4:$B$1048576,$I$3,Database!$D$4:$D$1048576,{"JK1","JK3","BDG","SMG","BGR","YOG","SLO","CRB","PWK","BKS","KDS","TGL","TSK","SKI","BD2"},Database!$R$4:$R$1048576,"=3")),IF($I$5="Apotek",SUM(SUMIFS(Database!$R$4:$R$1048576,Database!$B$4:$B$1048576,$I$3,Database!$D$4:$D$1048576,{"JK1","JK3","BDG","SMG","BGR","YOG","SLO","CRB","PWK","BKS","KDS","TGL","TSK","SKI","BD2"},Database!$R$4:$R$1048576,"=3",Database!$F$4:$F$1048576,"Apotek")),IF($I$5="Rumah Sakit",SUM(SUMIFS(Database!$R$4:$R$1048576,Database!$B$4:$B$1048576,$I$3,Database!$D$4:$D$1048576,{"JK1","JK3","BDG","SMG","BGR","YOG","SLO","CRB","PWK","BKS","KDS","TGL","TSK","SKI","BD2"},Database!$R$4:$R$1048576,"=3",Database!$F$4:$F$1048576,"Rumah sakit")),IF($I$5="Subdis",SUM(SUMIFS(Database!$R$4:$R$1048576,Database!$B$4:$B$1048576,$I$3,Database!$D$4:$D$1048576,{"JK1","JK3","BDG","SMG","BGR","YOG","SLO","CRB","PWK","BKS","KDS","TGL","TSK","SKI","BD2"},Database!$R$4:$R$1048576,"=3",Database!$F$4:$F$1048576,"Subdis")),0)))),IF($I$4="Timur",IF($I$5="All",SUM(SUMIFS(Database!$R$4:$R$1048576,Database!$B$4:$B$1048576,$I$3,Database!$D$4:$D$1048576,{"SB1","SB2","BMS","MKS","DPS","KDR","MLG","SMD","PTK","JBR","MNO","JPU","MTR","BPP","KPG","PLU"},Database!$R$4:$R$1048576,"=3")),IF($I$5="Apotek",SUM(SUMIFS(Database!$R$4:$R$1048576,Database!$B$4:$B$1048576,$I$3,Database!$D$4:$D$1048576,{"SB1","SB2","BMS","MKS","DPS","KDR","MLG","SMD","PTK","JBR","MNO","JPU","MTR","BPP","KPG","PLU"},Database!$R$4:$R$1048576,"=3",Database!$F$4:$F$1048576,"Apotek")),IF($I$5="Rumah Sakit",SUM(SUMIFS(Database!$R$4:$R$1048576,Database!$B$4:$B$1048576,$I$3,Database!$D$4:$D$1048576,{"SB1","SB2","BMS","MKS","DPS","KDR","MLG","SMD","PTK","JBR","MNO","JPU","MTR","BPP","KPG","PLU"},Database!$R$4:$R$1048576,"=3",Database!$F$4:$F$1048576,"Rumah sakit")),IF($I$5="Subdis",SUM(SUMIFS(Database!$R$4:$R$1048576,Database!$B$4:$B$1048576,$I$3,Database!$D$4:$D$1048576,{"SB1","SB2","BMS","MKS","DPS","KDR","MLG","SMD","PTK","JBR","MNO","JPU","MTR","BPP","KPG","PLU"},Database!$R$4:$R$1048576,"=3",Database!$F$4:$F$1048576,"Subdis")),0)))))))/$D$8</f>
        <v>0</v>
      </c>
      <c r="E20" s="23">
        <f>IF($I$4="Barat",IF($I$5="All",SUM(SUMIFS(Database!$R$4:$R$1048576,Database!$B$4:$B$1048576,$I$3,Database!$D$4:$D$1048576,{"JK2","MDN","TGR","PKB","PLB","BDL","PMS","PDG","BTM","BAC","JBI","PKP","BKL","LSE","PJT"},Database!$R$4:$R$1048576,"=4")),IF($I$5="Apotek",SUM(SUMIFS(Database!$R$4:$R$1048576,Database!$B$4:$B$1048576,$I$3,Database!$D$4:$D$1048576,{"JK2","MDN","TGR","PKB","PLB","BDL","PMS","PDG","BTM","BAC","JBI","PKP","BKL","LSE","PJT"},Database!$R$4:$R$1048576,"=4",Database!$F$4:$F$1048576,"Apotek")),IF($I$5="Rumah Sakit",SUM(SUMIFS(Database!$R$4:$R$1048576,Database!$B$4:$B$1048576,$I$3,Database!$D$4:$D$1048576,{"JK2","MDN","TGR","PKB","PLB","BDL","PMS","PDG","BTM","BAC","JBI","PKP","BKL","LSE","PJT"},Database!$R$4:$R$1048576,"=4",Database!$F$4:$F$1048576,"Rumah sakit")),IF($I$5="Subdis",SUM(SUMIFS(Database!$R$4:$R$1048576,Database!$B$4:$B$1048576,$I$3,Database!$D$4:$D$1048576,{"JK2","MDN","TGR","PKB","PLB","BDL","PMS","PDG","BTM","BAC","JBI","PKP","BKL","LSE","PJT"},Database!$R$4:$R$1048576,"=4",Database!$F$4:$F$1048576,"Subdis")),0)))),IF($I$4="Tengah",IF($I$5="All",SUM(SUMIFS(Database!$R$4:$R$1048576,Database!$B$4:$B$1048576,$I$3,Database!$D$4:$D$1048576,{"JK1","JK3","BDG","SMG","BGR","YOG","SLO","CRB","PWK","BKS","KDS","TGL","TSK","SKI","BD2"},Database!$R$4:$R$1048576,"=4")),IF($I$5="Apotek",SUM(SUMIFS(Database!$R$4:$R$1048576,Database!$B$4:$B$1048576,$I$3,Database!$D$4:$D$1048576,{"JK1","JK3","BDG","SMG","BGR","YOG","SLO","CRB","PWK","BKS","KDS","TGL","TSK","SKI","BD2"},Database!$R$4:$R$1048576,"=4",Database!$F$4:$F$1048576,"Apotek")),IF($I$5="Rumah Sakit",SUM(SUMIFS(Database!$R$4:$R$1048576,Database!$B$4:$B$1048576,$I$3,Database!$D$4:$D$1048576,{"JK1","JK3","BDG","SMG","BGR","YOG","SLO","CRB","PWK","BKS","KDS","TGL","TSK","SKI","BD2"},Database!$R$4:$R$1048576,"=4",Database!$F$4:$F$1048576,"Rumah sakit")),IF($I$5="Subdis",SUM(SUMIFS(Database!$R$4:$R$1048576,Database!$B$4:$B$1048576,$I$3,Database!$D$4:$D$1048576,{"JK1","JK3","BDG","SMG","BGR","YOG","SLO","CRB","PWK","BKS","KDS","TGL","TSK","SKI","BD2"},Database!$R$4:$R$1048576,"=4",Database!$F$4:$F$1048576,"Subdis")),0)))),IF($I$4="Timur",IF($I$5="All",SUM(SUMIFS(Database!$R$4:$R$1048576,Database!$B$4:$B$1048576,$I$3,Database!$D$4:$D$1048576,{"SB1","SB2","BMS","MKS","DPS","KDR","MLG","SMD","PTK","JBR","MNO","JPU","MTR","BPP","KPG","PLU"},Database!$R$4:$R$1048576,"=4")),IF($I$5="Apotek",SUM(SUMIFS(Database!$R$4:$R$1048576,Database!$B$4:$B$1048576,$I$3,Database!$D$4:$D$1048576,{"SB1","SB2","BMS","MKS","DPS","KDR","MLG","SMD","PTK","JBR","MNO","JPU","MTR","BPP","KPG","PLU"},Database!$R$4:$R$1048576,"=4",Database!$F$4:$F$1048576,"Apotek")),IF($I$5="Rumah Sakit",SUM(SUMIFS(Database!$R$4:$R$1048576,Database!$B$4:$B$1048576,$I$3,Database!$D$4:$D$1048576,{"SB1","SB2","BMS","MKS","DPS","KDR","MLG","SMD","PTK","JBR","MNO","JPU","MTR","BPP","KPG","PLU"},Database!$R$4:$R$1048576,"=4",Database!$F$4:$F$1048576,"Rumah sakit")),IF($I$5="Subdis",SUM(SUMIFS(Database!$R$4:$R$1048576,Database!$B$4:$B$1048576,$I$3,Database!$D$4:$D$1048576,{"SB1","SB2","BMS","MKS","DPS","KDR","MLG","SMD","PTK","JBR","MNO","JPU","MTR","BPP","KPG","PLU"},Database!$R$4:$R$1048576,"=4",Database!$F$4:$F$1048576,"Subdis")),0)))))))/$E$8</f>
        <v>0</v>
      </c>
      <c r="F20" s="9">
        <f t="shared" si="0"/>
        <v>0</v>
      </c>
      <c r="G20" s="10" t="e">
        <f t="shared" si="10"/>
        <v>#DIV/0!</v>
      </c>
      <c r="H20" s="23">
        <f>IF($I$4="Barat",IF($I$5="All",SUM(SUMIFS(Database!$AS$4:$AS$1048576,Database!$AC$4:$AC$1048576,$I$3,Database!$AE$4:$AE$1048576,{"JK2","MDN","TGR","PKB","PLB","BDL","PMS","PDG","BTM","BAC","JBI","PKP","BKL","LSE","PJT"},Database!$AS$4:$AS$1048576,"=1")),IF($I$5="Apotek",SUM(SUMIFS(Database!$AS$4:$AS$1048576,Database!$AC$4:$AC$1048576,$I$3,Database!$AE$4:$AE$1048576,{"JK2","MDN","TGR","PKB","PLB","BDL","PMS","PDG","BTM","BAC","JBI","PKP","BKL","LSE","PJT"},Database!$AS$4:$AS$1048576,"=1",Database!$AG$4:$AG$1048576,"Apotek")),IF($I$5="Rumah Sakit",SUM(SUMIFS(Database!$AS$4:$AS$1048576,Database!$AC$4:$AC$1048576,$I$3,Database!$AE$4:$AE$1048576,{"JK2","MDN","TGR","PKB","PLB","BDL","PMS","PDG","BTM","BAC","JBI","PKP","BKL","LSE","PJT"},Database!$AS$4:$AS$1048576,"=1",Database!$AG$4:$AG$1048576,"Rumah sakit")),IF($I$5="Subdis",SUM(SUMIFS(Database!$AS$4:$AS$1048576,Database!$AC$4:$AC$1048576,$I$3,Database!$AE$4:$AE$1048576,{"JK2","MDN","TGR","PKB","PLB","BDL","PMS","PDG","BTM","BAC","JBI","PKP","BKL","LSE","PJT"},Database!$AS$4:$AS$1048576,"=1",Database!$AG$4:$AG$1048576,"Subdis")),0)))),IF($I$4="Tengah",IF($I$5="All",SUM(SUMIFS(Database!$AS$4:$AS$1048576,Database!$AC$4:$AC$1048576,$I$3,Database!$AE$4:$AE$1048576,{"JK1","JK3","BDG","SMG","BGR","YOG","SLO","CRB","PWK","BKS","KDS","TGL","TSK","SKI","BD2"},Database!$AS$4:$AS$1048576,"=1")),IF($I$5="Apotek",SUM(SUMIFS(Database!$AS$4:$AS$1048576,Database!$AC$4:$AC$1048576,$I$3,Database!$AE$4:$AE$1048576,{"JK1","JK3","BDG","SMG","BGR","YOG","SLO","CRB","PWK","BKS","KDS","TGL","TSK","SKI","BD2"},Database!$AS$4:$AS$1048576,"=1",Database!$AG$4:$AG$1048576,"Apotek")),IF($I$5="Rumah Sakit",SUM(SUMIFS(Database!$AS$4:$AS$1048576,Database!$AC$4:$AC$1048576,$I$3,Database!$AE$4:$AE$1048576,{"JK1","JK3","BDG","SMG","BGR","YOG","SLO","CRB","PWK","BKS","KDS","TGL","TSK","SKI","BD2"},Database!$AS$4:$AS$1048576,"=1",Database!$AG$4:$AG$1048576,"Rumah sakit")),IF($I$5="Subdis",SUM(SUMIFS(Database!$AS$4:$AS$1048576,Database!$AC$4:$AC$1048576,$I$3,Database!$AE$4:$AE$1048576,{"JK1","JK3","BDG","SMG","BGR","YOG","SLO","CRB","PWK","BKS","KDS","TGL","TSK","SKI","BD2"},Database!$AS$4:$AS$1048576,"=1",Database!$AG$4:$AG$1048576,"Subdis")),0)))),IF($I$4="Timur",IF($I$5="All",SUM(SUMIFS(Database!$AS$4:$AS$1048576,Database!$AC$4:$AC$1048576,$I$3,Database!$AE$4:$AE$1048576,{"SB1","SB2","BMS","MKS","DPS","KDR","MLG","SMD","PTK","JBR","MNO","JPU","MTR","BPP","KPG","PLU"},Database!$AS$4:$AS$1048576,"=1")),IF($I$5="Apotek",SUM(SUMIFS(Database!$AS$4:$AS$1048576,Database!$AC$4:$AC$1048576,$I$3,Database!$AE$4:$AE$1048576,{"SB1","SB2","BMS","MKS","DPS","KDR","MLG","SMD","PTK","JBR","MNO","JPU","MTR","BPP","KPG","PLU"},Database!$AS$4:$AS$1048576,"=1",Database!$AG$4:$AG$1048576,"Apotek")),IF($I$5="Rumah Sakit",SUM(SUMIFS(Database!$AS$4:$AS$1048576,Database!$AC$4:$AC$1048576,$I$3,Database!$AE$4:$AE$1048576,{"SB1","SB2","BMS","MKS","DPS","KDR","MLG","SMD","PTK","JBR","MNO","JPU","MTR","BPP","KPG","PLU"},Database!$AS$4:$AS$1048576,"=1",Database!$AG$4:$AG$1048576,"Rumah sakit")),IF($I$5="Subdis",SUM(SUMIFS(Database!$AS$4:$AS$1048576,Database!$AC$4:$AC$1048576,$I$3,Database!$AE$4:$AE$1048576,{"SB1","SB2","BMS","MKS","DPS","KDR","MLG","SMD","PTK","JBR","MNO","JPU","MTR","BPP","KPG","PLU"},Database!$AS$4:$AS$1048576,"=1",Database!$AG$4:$AG$1048576,"Subdis")),0)))))))/$B$8</f>
        <v>0</v>
      </c>
      <c r="I20" s="23">
        <f>IF($I$4="Barat",IF($I$5="All",SUM(SUMIFS(Database!$AS$4:$AS$1048576,Database!$AC$4:$AC$1048576,$I$3,Database!$AE$4:$AE$1048576,{"JK2","MDN","TGR","PKB","PLB","BDL","PMS","PDG","BTM","BAC","JBI","PKP","BKL","LSE","PJT"},Database!$AS$4:$AS$1048576,"=2")),IF($I$5="Apotek",SUM(SUMIFS(Database!$AS$4:$AS$1048576,Database!$AC$4:$AC$1048576,$I$3,Database!$AE$4:$AE$1048576,{"JK2","MDN","TGR","PKB","PLB","BDL","PMS","PDG","BTM","BAC","JBI","PKP","BKL","LSE","PJT"},Database!$AS$4:$AS$1048576,"=2",Database!$AG$4:$AG$1048576,"Apotek")),IF($I$5="Rumah Sakit",SUM(SUMIFS(Database!$AS$4:$AS$1048576,Database!$AC$4:$AC$1048576,$I$3,Database!$AE$4:$AE$1048576,{"JK2","MDN","TGR","PKB","PLB","BDL","PMS","PDG","BTM","BAC","JBI","PKP","BKL","LSE","PJT"},Database!$AS$4:$AS$1048576,"=2",Database!$AG$4:$AG$1048576,"Rumah sakit")),IF($I$5="Subdis",SUM(SUMIFS(Database!$AS$4:$AS$1048576,Database!$AC$4:$AC$1048576,$I$3,Database!$AE$4:$AE$1048576,{"JK2","MDN","TGR","PKB","PLB","BDL","PMS","PDG","BTM","BAC","JBI","PKP","BKL","LSE","PJT"},Database!$AS$4:$AS$1048576,"=2",Database!$AG$4:$AG$1048576,"Subdis")),0)))),IF($I$4="Tengah",IF($I$5="All",SUM(SUMIFS(Database!$AS$4:$AS$1048576,Database!$AC$4:$AC$1048576,$I$3,Database!$AE$4:$AE$1048576,{"JK1","JK3","BDG","SMG","BGR","YOG","SLO","CRB","PWK","BKS","KDS","TGL","TSK","SKI","BD2"},Database!$AS$4:$AS$1048576,"=2")),IF($I$5="Apotek",SUM(SUMIFS(Database!$AS$4:$AS$1048576,Database!$AC$4:$AC$1048576,$I$3,Database!$AE$4:$AE$1048576,{"JK1","JK3","BDG","SMG","BGR","YOG","SLO","CRB","PWK","BKS","KDS","TGL","TSK","SKI","BD2"},Database!$AS$4:$AS$1048576,"=2",Database!$AG$4:$AG$1048576,"Apotek")),IF($I$5="Rumah Sakit",SUM(SUMIFS(Database!$AS$4:$AS$1048576,Database!$AC$4:$AC$1048576,$I$3,Database!$AE$4:$AE$1048576,{"JK1","JK3","BDG","SMG","BGR","YOG","SLO","CRB","PWK","BKS","KDS","TGL","TSK","SKI","BD2"},Database!$AS$4:$AS$1048576,"=2",Database!$AG$4:$AG$1048576,"Rumah sakit")),IF($I$5="Subdis",SUM(SUMIFS(Database!$AS$4:$AS$1048576,Database!$AC$4:$AC$1048576,$I$3,Database!$AE$4:$AE$1048576,{"JK1","JK3","BDG","SMG","BGR","YOG","SLO","CRB","PWK","BKS","KDS","TGL","TSK","SKI","BD2"},Database!$AS$4:$AS$1048576,"=2",Database!$AG$4:$AG$1048576,"Subdis")),0)))),IF($I$4="Timur",IF($I$5="All",SUM(SUMIFS(Database!$AS$4:$AS$1048576,Database!$AC$4:$AC$1048576,$I$3,Database!$AE$4:$AE$1048576,{"SB1","SB2","BMS","MKS","DPS","KDR","MLG","SMD","PTK","JBR","MNO","JPU","MTR","BPP","KPG","PLU"},Database!$AS$4:$AS$1048576,"=2")),IF($I$5="Apotek",SUM(SUMIFS(Database!$AS$4:$AS$1048576,Database!$AC$4:$AC$1048576,$I$3,Database!$AE$4:$AE$1048576,{"SB1","SB2","BMS","MKS","DPS","KDR","MLG","SMD","PTK","JBR","MNO","JPU","MTR","BPP","KPG","PLU"},Database!$AS$4:$AS$1048576,"=2",Database!$AG$4:$AG$1048576,"Apotek")),IF($I$5="Rumah Sakit",SUM(SUMIFS(Database!$AS$4:$AS$1048576,Database!$AC$4:$AC$1048576,$I$3,Database!$AE$4:$AE$1048576,{"SB1","SB2","BMS","MKS","DPS","KDR","MLG","SMD","PTK","JBR","MNO","JPU","MTR","BPP","KPG","PLU"},Database!$AS$4:$AS$1048576,"=2",Database!$AG$4:$AG$1048576,"Rumah sakit")),IF($I$5="Subdis",SUM(SUMIFS(Database!$AS$4:$AS$1048576,Database!$AC$4:$AC$1048576,$I$3,Database!$AE$4:$AE$1048576,{"SB1","SB2","BMS","MKS","DPS","KDR","MLG","SMD","PTK","JBR","MNO","JPU","MTR","BPP","KPG","PLU"},Database!$AS$4:$AS$1048576,"=2",Database!$AG$4:$AG$1048576,"Subdis")),0)))))))/$C$8</f>
        <v>0</v>
      </c>
      <c r="J20" s="23">
        <f>IF($I$4="Barat",IF($I$5="All",SUM(SUMIFS(Database!$AS$4:$AS$1048576,Database!$AC$4:$AC$1048576,$I$3,Database!$AE$4:$AE$1048576,{"JK2","MDN","TGR","PKB","PLB","BDL","PMS","PDG","BTM","BAC","JBI","PKP","BKL","LSE","PJT"},Database!$AS$4:$AS$1048576,"=3")),IF($I$5="Apotek",SUM(SUMIFS(Database!$AS$4:$AS$1048576,Database!$AC$4:$AC$1048576,$I$3,Database!$AE$4:$AE$1048576,{"JK2","MDN","TGR","PKB","PLB","BDL","PMS","PDG","BTM","BAC","JBI","PKP","BKL","LSE","PJT"},Database!$AS$4:$AS$1048576,"=3",Database!$AG$4:$AG$1048576,"Apotek")),IF($I$5="Rumah Sakit",SUM(SUMIFS(Database!$AS$4:$AS$1048576,Database!$AC$4:$AC$1048576,$I$3,Database!$AE$4:$AE$1048576,{"JK2","MDN","TGR","PKB","PLB","BDL","PMS","PDG","BTM","BAC","JBI","PKP","BKL","LSE","PJT"},Database!$AS$4:$AS$1048576,"=3",Database!$AG$4:$AG$1048576,"Rumah sakit")),IF($I$5="Subdis",SUM(SUMIFS(Database!$AS$4:$AS$1048576,Database!$AC$4:$AC$1048576,$I$3,Database!$AE$4:$AE$1048576,{"JK2","MDN","TGR","PKB","PLB","BDL","PMS","PDG","BTM","BAC","JBI","PKP","BKL","LSE","PJT"},Database!$AS$4:$AS$1048576,"=3",Database!$AG$4:$AG$1048576,"Subdis")),0)))),IF($I$4="Tengah",IF($I$5="All",SUM(SUMIFS(Database!$AS$4:$AS$1048576,Database!$AC$4:$AC$1048576,$I$3,Database!$AE$4:$AE$1048576,{"JK1","JK3","BDG","SMG","BGR","YOG","SLO","CRB","PWK","BKS","KDS","TGL","TSK","SKI","BD2"},Database!$AS$4:$AS$1048576,"=3")),IF($I$5="Apotek",SUM(SUMIFS(Database!$AS$4:$AS$1048576,Database!$AC$4:$AC$1048576,$I$3,Database!$AE$4:$AE$1048576,{"JK1","JK3","BDG","SMG","BGR","YOG","SLO","CRB","PWK","BKS","KDS","TGL","TSK","SKI","BD2"},Database!$AS$4:$AS$1048576,"=3",Database!$AG$4:$AG$1048576,"Apotek")),IF($I$5="Rumah Sakit",SUM(SUMIFS(Database!$AS$4:$AS$1048576,Database!$AC$4:$AC$1048576,$I$3,Database!$AE$4:$AE$1048576,{"JK1","JK3","BDG","SMG","BGR","YOG","SLO","CRB","PWK","BKS","KDS","TGL","TSK","SKI","BD2"},Database!$AS$4:$AS$1048576,"=3",Database!$AG$4:$AG$1048576,"Rumah sakit")),IF($I$5="Subdis",SUM(SUMIFS(Database!$AS$4:$AS$1048576,Database!$AC$4:$AC$1048576,$I$3,Database!$AE$4:$AE$1048576,{"JK1","JK3","BDG","SMG","BGR","YOG","SLO","CRB","PWK","BKS","KDS","TGL","TSK","SKI","BD2"},Database!$AS$4:$AS$1048576,"=3",Database!$AG$4:$AG$1048576,"Subdis")),0)))),IF($I$4="Timur",IF($I$5="All",SUM(SUMIFS(Database!$AS$4:$AS$1048576,Database!$AC$4:$AC$1048576,$I$3,Database!$AE$4:$AE$1048576,{"SB1","SB2","BMS","MKS","DPS","KDR","MLG","SMD","PTK","JBR","MNO","JPU","MTR","BPP","KPG","PLU"},Database!$AS$4:$AS$1048576,"=3")),IF($I$5="Apotek",SUM(SUMIFS(Database!$AS$4:$AS$1048576,Database!$AC$4:$AC$1048576,$I$3,Database!$AE$4:$AE$1048576,{"SB1","SB2","BMS","MKS","DPS","KDR","MLG","SMD","PTK","JBR","MNO","JPU","MTR","BPP","KPG","PLU"},Database!$AS$4:$AS$1048576,"=3",Database!$AG$4:$AG$1048576,"Apotek")),IF($I$5="Rumah Sakit",SUM(SUMIFS(Database!$AS$4:$AS$1048576,Database!$AC$4:$AC$1048576,$I$3,Database!$AE$4:$AE$1048576,{"SB1","SB2","BMS","MKS","DPS","KDR","MLG","SMD","PTK","JBR","MNO","JPU","MTR","BPP","KPG","PLU"},Database!$AS$4:$AS$1048576,"=3",Database!$AG$4:$AG$1048576,"Rumah sakit")),IF($I$5="Subdis",SUM(SUMIFS(Database!$AS$4:$AS$1048576,Database!$AC$4:$AC$1048576,$I$3,Database!$AE$4:$AE$1048576,{"SB1","SB2","BMS","MKS","DPS","KDR","MLG","SMD","PTK","JBR","MNO","JPU","MTR","BPP","KPG","PLU"},Database!$AS$4:$AS$1048576,"=3",Database!$AG$4:$AG$1048576,"Subdis")),0)))))))/$D$8</f>
        <v>0</v>
      </c>
      <c r="K20" s="23">
        <f>IF($I$4="Barat",IF($I$5="All",SUM(SUMIFS(Database!$AS$4:$AS$1048576,Database!$AC$4:$AC$1048576,$I$3,Database!$AE$4:$AE$1048576,{"JK2","MDN","TGR","PKB","PLB","BDL","PMS","PDG","BTM","BAC","JBI","PKP","BKL","LSE","PJT"},Database!$AS$4:$AS$1048576,"=4")),IF($I$5="Apotek",SUM(SUMIFS(Database!$AS$4:$AS$1048576,Database!$AC$4:$AC$1048576,$I$3,Database!$AE$4:$AE$1048576,{"JK2","MDN","TGR","PKB","PLB","BDL","PMS","PDG","BTM","BAC","JBI","PKP","BKL","LSE","PJT"},Database!$AS$4:$AS$1048576,"=4",Database!$AG$4:$AG$1048576,"Apotek")),IF($I$5="Rumah Sakit",SUM(SUMIFS(Database!$AS$4:$AS$1048576,Database!$AC$4:$AC$1048576,$I$3,Database!$AE$4:$AE$1048576,{"JK2","MDN","TGR","PKB","PLB","BDL","PMS","PDG","BTM","BAC","JBI","PKP","BKL","LSE","PJT"},Database!$AS$4:$AS$1048576,"=4",Database!$AG$4:$AG$1048576,"Rumah sakit")),IF($I$5="Subdis",SUM(SUMIFS(Database!$AS$4:$AS$1048576,Database!$AC$4:$AC$1048576,$I$3,Database!$AE$4:$AE$1048576,{"JK2","MDN","TGR","PKB","PLB","BDL","PMS","PDG","BTM","BAC","JBI","PKP","BKL","LSE","PJT"},Database!$AS$4:$AS$1048576,"=4",Database!$AG$4:$AG$1048576,"Subdis")),0)))),IF($I$4="Tengah",IF($I$5="All",SUM(SUMIFS(Database!$AS$4:$AS$1048576,Database!$AC$4:$AC$1048576,$I$3,Database!$AE$4:$AE$1048576,{"JK1","JK3","BDG","SMG","BGR","YOG","SLO","CRB","PWK","BKS","KDS","TGL","TSK","SKI","BD2"},Database!$AS$4:$AS$1048576,"=4")),IF($I$5="Apotek",SUM(SUMIFS(Database!$AS$4:$AS$1048576,Database!$AC$4:$AC$1048576,$I$3,Database!$AE$4:$AE$1048576,{"JK1","JK3","BDG","SMG","BGR","YOG","SLO","CRB","PWK","BKS","KDS","TGL","TSK","SKI","BD2"},Database!$AS$4:$AS$1048576,"=4",Database!$AG$4:$AG$1048576,"Apotek")),IF($I$5="Rumah Sakit",SUM(SUMIFS(Database!$AS$4:$AS$1048576,Database!$AC$4:$AC$1048576,$I$3,Database!$AE$4:$AE$1048576,{"JK1","JK3","BDG","SMG","BGR","YOG","SLO","CRB","PWK","BKS","KDS","TGL","TSK","SKI","BD2"},Database!$AS$4:$AS$1048576,"=4",Database!$AG$4:$AG$1048576,"Rumah sakit")),IF($I$5="Subdis",SUM(SUMIFS(Database!$AS$4:$AS$1048576,Database!$AC$4:$AC$1048576,$I$3,Database!$AE$4:$AE$1048576,{"JK1","JK3","BDG","SMG","BGR","YOG","SLO","CRB","PWK","BKS","KDS","TGL","TSK","SKI","BD2"},Database!$AS$4:$AS$1048576,"=4",Database!$AG$4:$AG$1048576,"Subdis")),0)))),IF($I$4="Timur",IF($I$5="All",SUM(SUMIFS(Database!$AS$4:$AS$1048576,Database!$AC$4:$AC$1048576,$I$3,Database!$AE$4:$AE$1048576,{"SB1","SB2","BMS","MKS","DPS","KDR","MLG","SMD","PTK","JBR","MNO","JPU","MTR","BPP","KPG","PLU"},Database!$AS$4:$AS$1048576,"=4")),IF($I$5="Apotek",SUM(SUMIFS(Database!$AS$4:$AS$1048576,Database!$AC$4:$AC$1048576,$I$3,Database!$AE$4:$AE$1048576,{"SB1","SB2","BMS","MKS","DPS","KDR","MLG","SMD","PTK","JBR","MNO","JPU","MTR","BPP","KPG","PLU"},Database!$AS$4:$AS$1048576,"=4",Database!$AG$4:$AG$1048576,"Apotek")),IF($I$5="Rumah Sakit",SUM(SUMIFS(Database!$AS$4:$AS$1048576,Database!$AC$4:$AC$1048576,$I$3,Database!$AE$4:$AE$1048576,{"SB1","SB2","BMS","MKS","DPS","KDR","MLG","SMD","PTK","JBR","MNO","JPU","MTR","BPP","KPG","PLU"},Database!$AS$4:$AS$1048576,"=4",Database!$AG$4:$AG$1048576,"Rumah sakit")),IF($I$5="Subdis",SUM(SUMIFS(Database!$AS$4:$AS$1048576,Database!$AC$4:$AC$1048576,$I$3,Database!$AE$4:$AE$1048576,{"SB1","SB2","BMS","MKS","DPS","KDR","MLG","SMD","PTK","JBR","MNO","JPU","MTR","BPP","KPG","PLU"},Database!$AS$4:$AS$1048576,"=4",Database!$AG$4:$AG$1048576,"Subdis")),0)))))))/$E$8</f>
        <v>0</v>
      </c>
      <c r="L20" s="9">
        <f t="shared" si="1"/>
        <v>0</v>
      </c>
      <c r="M20" s="10" t="e">
        <f t="shared" si="2"/>
        <v>#DIV/0!</v>
      </c>
      <c r="N20" s="10" t="e">
        <f t="shared" si="3"/>
        <v>#DIV/0!</v>
      </c>
      <c r="O20" s="32" t="e">
        <f t="shared" si="4"/>
        <v>#DIV/0!</v>
      </c>
      <c r="P20" s="11" t="s">
        <v>57</v>
      </c>
      <c r="Q20" s="32" t="e">
        <f>RANK(N20,$N$20:$N$22,0)</f>
        <v>#DIV/0!</v>
      </c>
      <c r="R20" s="81" t="e">
        <f t="shared" si="6"/>
        <v>#DIV/0!</v>
      </c>
      <c r="S20" s="81" t="e">
        <f t="shared" si="7"/>
        <v>#DIV/0!</v>
      </c>
      <c r="T20" s="81" t="e">
        <f>RANK(G20,$G$20:$G$22)</f>
        <v>#DIV/0!</v>
      </c>
      <c r="U20" s="81" t="e">
        <f>RANK(M20,$M$20:$M$22)</f>
        <v>#DIV/0!</v>
      </c>
      <c r="V20" s="254" t="s">
        <v>184</v>
      </c>
    </row>
    <row r="21" spans="1:22" ht="18" x14ac:dyDescent="0.35">
      <c r="A21" s="9" t="s">
        <v>26</v>
      </c>
      <c r="B21" s="23">
        <f>IF($I$4="Barat",IF($I$5="All",SUM(SUMIFS(Database!$S$4:$S$1048576,Database!$B$4:$B$1048576,$I$3,Database!$D$4:$D$1048576,{"JK2","MDN","TGR","PKB","PLB","BDL","PMS","PDG","BTM","BAC","JBI","PKP","BKL","LSE","PJT"},Database!$S$4:$S$1048576,"=1")),IF($I$5="Apotek",SUM(SUMIFS(Database!$S$4:$S$1048576,Database!$B$4:$B$1048576,$I$3,Database!$D$4:$D$1048576,{"JK2","MDN","TGR","PKB","PLB","BDL","PMS","PDG","BTM","BAC","JBI","PKP","BKL","LSE","PJT"},Database!$S$4:$S$1048576,"=1",Database!$F$4:$F$1048576,"Apotek")),IF($I$5="Rumah Sakit",SUM(SUMIFS(Database!$S$4:$S$1048576,Database!$B$4:$B$1048576,$I$3,Database!$D$4:$D$1048576,{"JK2","MDN","TGR","PKB","PLB","BDL","PMS","PDG","BTM","BAC","JBI","PKP","BKL","LSE","PJT"},Database!$S$4:$S$1048576,"=1",Database!$F$4:$F$1048576,"Rumah sakit")),IF($I$5="Subdis",SUM(SUMIFS(Database!$S$4:$S$1048576,Database!$B$4:$B$1048576,$I$3,Database!$D$4:$D$1048576,{"JK2","MDN","TGR","PKB","PLB","BDL","PMS","PDG","BTM","BAC","JBI","PKP","BKL","LSE","PJT"},Database!$S$4:$S$1048576,"=1",Database!$F$4:$F$1048576,"Subdis")),0)))),IF($I$4="Tengah",IF($I$5="All",SUM(SUMIFS(Database!$S$4:$S$1048576,Database!$B$4:$B$1048576,$I$3,Database!$D$4:$D$1048576,{"JK1","JK3","BDG","SMG","BGR","YOG","SLO","CRB","PWK","BKS","KDS","TGL","TSK","SKI","BD2"},Database!$S$4:$S$1048576,"=1")),IF($I$5="Apotek",SUM(SUMIFS(Database!$S$4:$S$1048576,Database!$B$4:$B$1048576,$I$3,Database!$D$4:$D$1048576,{"JK1","JK3","BDG","SMG","BGR","YOG","SLO","CRB","PWK","BKS","KDS","TGL","TSK","SKI","BD2"},Database!$S$4:$S$1048576,"=1",Database!$F$4:$F$1048576,"Apotek")),IF($I$5="Rumah Sakit",SUM(SUMIFS(Database!$S$4:$S$1048576,Database!$B$4:$B$1048576,$I$3,Database!$D$4:$D$1048576,{"JK1","JK3","BDG","SMG","BGR","YOG","SLO","CRB","PWK","BKS","KDS","TGL","TSK","SKI","BD2"},Database!$S$4:$S$1048576,"=1",Database!$F$4:$F$1048576,"Rumah sakit")),IF($I$5="Subdis",SUM(SUMIFS(Database!$S$4:$S$1048576,Database!$B$4:$B$1048576,$I$3,Database!$D$4:$D$1048576,{"JK1","JK3","BDG","SMG","BGR","YOG","SLO","CRB","PWK","BKS","KDS","TGL","TSK","SKI","BD2"},Database!$S$4:$S$1048576,"=1",Database!$F$4:$F$1048576,"Subdis")),0)))),IF($I$4="Timur",IF($I$5="All",SUM(SUMIFS(Database!$S$4:$S$1048576,Database!$B$4:$B$1048576,$I$3,Database!$D$4:$D$1048576,{"SB1","SB2","BMS","MKS","DPS","KDR","MLG","SMD","PTK","JBR","MNO","JPU","MTR","BPP","KPG","PLU"},Database!$S$4:$S$1048576,"=1")),IF($I$5="Apotek",SUM(SUMIFS(Database!$S$4:$S$1048576,Database!$B$4:$B$1048576,$I$3,Database!$D$4:$D$1048576,{"SB1","SB2","BMS","MKS","DPS","KDR","MLG","SMD","PTK","JBR","MNO","JPU","MTR","BPP","KPG","PLU"},Database!$S$4:$S$1048576,"=1",Database!$F$4:$F$1048576,"Apotek")),IF($I$5="Rumah Sakit",SUM(SUMIFS(Database!$S$4:$S$1048576,Database!$B$4:$B$1048576,$I$3,Database!$D$4:$D$1048576,{"SB1","SB2","BMS","MKS","DPS","KDR","MLG","SMD","PTK","JBR","MNO","JPU","MTR","BPP","KPG","PLU"},Database!$S$4:$S$1048576,"=1",Database!$F$4:$F$1048576,"Rumah sakit")),IF($I$5="Subdis",SUM(SUMIFS(Database!$S$4:$S$1048576,Database!$B$4:$B$1048576,$I$3,Database!$D$4:$D$1048576,{"SB1","SB2","BMS","MKS","DPS","KDR","MLG","SMD","PTK","JBR","MNO","JPU","MTR","BPP","KPG","PLU"},Database!$S$4:$S$1048576,"=1",Database!$F$4:$F$1048576,"Subdis")),0)))))))/$B$8</f>
        <v>0</v>
      </c>
      <c r="C21" s="23">
        <f>IF($I$4="Barat",IF($I$5="All",SUM(SUMIFS(Database!$S$4:$S$1048576,Database!$B$4:$B$1048576,$I$3,Database!$D$4:$D$1048576,{"JK2","MDN","TGR","PKB","PLB","BDL","PMS","PDG","BTM","BAC","JBI","PKP","BKL","LSE","PJT"},Database!$S$4:$S$1048576,"=2")),IF($I$5="Apotek",SUM(SUMIFS(Database!$S$4:$S$1048576,Database!$B$4:$B$1048576,$I$3,Database!$D$4:$D$1048576,{"JK2","MDN","TGR","PKB","PLB","BDL","PMS","PDG","BTM","BAC","JBI","PKP","BKL","LSE","PJT"},Database!$S$4:$S$1048576,"=2",Database!$F$4:$F$1048576,"Apotek")),IF($I$5="Rumah Sakit",SUM(SUMIFS(Database!$S$4:$S$1048576,Database!$B$4:$B$1048576,$I$3,Database!$D$4:$D$1048576,{"JK2","MDN","TGR","PKB","PLB","BDL","PMS","PDG","BTM","BAC","JBI","PKP","BKL","LSE","PJT"},Database!$S$4:$S$1048576,"=2",Database!$F$4:$F$1048576,"Rumah sakit")),IF($I$5="Subdis",SUM(SUMIFS(Database!$S$4:$S$1048576,Database!$B$4:$B$1048576,$I$3,Database!$D$4:$D$1048576,{"JK2","MDN","TGR","PKB","PLB","BDL","PMS","PDG","BTM","BAC","JBI","PKP","BKL","LSE","PJT"},Database!$S$4:$S$1048576,"=2",Database!$F$4:$F$1048576,"Subdis")),0)))),IF($I$4="Tengah",IF($I$5="All",SUM(SUMIFS(Database!$S$4:$S$1048576,Database!$B$4:$B$1048576,$I$3,Database!$D$4:$D$1048576,{"JK1","JK3","BDG","SMG","BGR","YOG","SLO","CRB","PWK","BKS","KDS","TGL","TSK","SKI","BD2"},Database!$S$4:$S$1048576,"=2")),IF($I$5="Apotek",SUM(SUMIFS(Database!$S$4:$S$1048576,Database!$B$4:$B$1048576,$I$3,Database!$D$4:$D$1048576,{"JK1","JK3","BDG","SMG","BGR","YOG","SLO","CRB","PWK","BKS","KDS","TGL","TSK","SKI","BD2"},Database!$S$4:$S$1048576,"=2",Database!$F$4:$F$1048576,"Apotek")),IF($I$5="Rumah Sakit",SUM(SUMIFS(Database!$S$4:$S$1048576,Database!$B$4:$B$1048576,$I$3,Database!$D$4:$D$1048576,{"JK1","JK3","BDG","SMG","BGR","YOG","SLO","CRB","PWK","BKS","KDS","TGL","TSK","SKI","BD2"},Database!$S$4:$S$1048576,"=2",Database!$F$4:$F$1048576,"Rumah sakit")),IF($I$5="Subdis",SUM(SUMIFS(Database!$S$4:$S$1048576,Database!$B$4:$B$1048576,$I$3,Database!$D$4:$D$1048576,{"JK1","JK3","BDG","SMG","BGR","YOG","SLO","CRB","PWK","BKS","KDS","TGL","TSK","SKI","BD2"},Database!$S$4:$S$1048576,"=2",Database!$F$4:$F$1048576,"Subdis")),0)))),IF($I$4="Timur",IF($I$5="All",SUM(SUMIFS(Database!$S$4:$S$1048576,Database!$B$4:$B$1048576,$I$3,Database!$D$4:$D$1048576,{"SB1","SB2","BMS","MKS","DPS","KDR","MLG","SMD","PTK","JBR","MNO","JPU","MTR","BPP","KPG","PLU"},Database!$S$4:$S$1048576,"=2")),IF($I$5="Apotek",SUM(SUMIFS(Database!$S$4:$S$1048576,Database!$B$4:$B$1048576,$I$3,Database!$D$4:$D$1048576,{"SB1","SB2","BMS","MKS","DPS","KDR","MLG","SMD","PTK","JBR","MNO","JPU","MTR","BPP","KPG","PLU"},Database!$S$4:$S$1048576,"=2",Database!$F$4:$F$1048576,"Apotek")),IF($I$5="Rumah Sakit",SUM(SUMIFS(Database!$S$4:$S$1048576,Database!$B$4:$B$1048576,$I$3,Database!$D$4:$D$1048576,{"SB1","SB2","BMS","MKS","DPS","KDR","MLG","SMD","PTK","JBR","MNO","JPU","MTR","BPP","KPG","PLU"},Database!$S$4:$S$1048576,"=2",Database!$F$4:$F$1048576,"Rumah sakit")),IF($I$5="Subdis",SUM(SUMIFS(Database!$S$4:$S$1048576,Database!$B$4:$B$1048576,$I$3,Database!$D$4:$D$1048576,{"SB1","SB2","BMS","MKS","DPS","KDR","MLG","SMD","PTK","JBR","MNO","JPU","MTR","BPP","KPG","PLU"},Database!$S$4:$S$1048576,"=2",Database!$F$4:$F$1048576,"Subdis")),0)))))))/$C$8</f>
        <v>0</v>
      </c>
      <c r="D21" s="23">
        <f>IF($I$4="Barat",IF($I$5="All",SUM(SUMIFS(Database!$S$4:$S$1048576,Database!$B$4:$B$1048576,$I$3,Database!$D$4:$D$1048576,{"JK2","MDN","TGR","PKB","PLB","BDL","PMS","PDG","BTM","BAC","JBI","PKP","BKL","LSE","PJT"},Database!$S$4:$S$1048576,"=3")),IF($I$5="Apotek",SUM(SUMIFS(Database!$S$4:$S$1048576,Database!$B$4:$B$1048576,$I$3,Database!$D$4:$D$1048576,{"JK2","MDN","TGR","PKB","PLB","BDL","PMS","PDG","BTM","BAC","JBI","PKP","BKL","LSE","PJT"},Database!$S$4:$S$1048576,"=3",Database!$F$4:$F$1048576,"Apotek")),IF($I$5="Rumah Sakit",SUM(SUMIFS(Database!$S$4:$S$1048576,Database!$B$4:$B$1048576,$I$3,Database!$D$4:$D$1048576,{"JK2","MDN","TGR","PKB","PLB","BDL","PMS","PDG","BTM","BAC","JBI","PKP","BKL","LSE","PJT"},Database!$S$4:$S$1048576,"=3",Database!$F$4:$F$1048576,"Rumah sakit")),IF($I$5="Subdis",SUM(SUMIFS(Database!$S$4:$S$1048576,Database!$B$4:$B$1048576,$I$3,Database!$D$4:$D$1048576,{"JK2","MDN","TGR","PKB","PLB","BDL","PMS","PDG","BTM","BAC","JBI","PKP","BKL","LSE","PJT"},Database!$S$4:$S$1048576,"=3",Database!$F$4:$F$1048576,"Subdis")),0)))),IF($I$4="Tengah",IF($I$5="All",SUM(SUMIFS(Database!$S$4:$S$1048576,Database!$B$4:$B$1048576,$I$3,Database!$D$4:$D$1048576,{"JK1","JK3","BDG","SMG","BGR","YOG","SLO","CRB","PWK","BKS","KDS","TGL","TSK","SKI","BD2"},Database!$S$4:$S$1048576,"=3")),IF($I$5="Apotek",SUM(SUMIFS(Database!$S$4:$S$1048576,Database!$B$4:$B$1048576,$I$3,Database!$D$4:$D$1048576,{"JK1","JK3","BDG","SMG","BGR","YOG","SLO","CRB","PWK","BKS","KDS","TGL","TSK","SKI","BD2"},Database!$S$4:$S$1048576,"=3",Database!$F$4:$F$1048576,"Apotek")),IF($I$5="Rumah Sakit",SUM(SUMIFS(Database!$S$4:$S$1048576,Database!$B$4:$B$1048576,$I$3,Database!$D$4:$D$1048576,{"JK1","JK3","BDG","SMG","BGR","YOG","SLO","CRB","PWK","BKS","KDS","TGL","TSK","SKI","BD2"},Database!$S$4:$S$1048576,"=3",Database!$F$4:$F$1048576,"Rumah sakit")),IF($I$5="Subdis",SUM(SUMIFS(Database!$S$4:$S$1048576,Database!$B$4:$B$1048576,$I$3,Database!$D$4:$D$1048576,{"JK1","JK3","BDG","SMG","BGR","YOG","SLO","CRB","PWK","BKS","KDS","TGL","TSK","SKI","BD2"},Database!$S$4:$S$1048576,"=3",Database!$F$4:$F$1048576,"Subdis")),0)))),IF($I$4="Timur",IF($I$5="All",SUM(SUMIFS(Database!$S$4:$S$1048576,Database!$B$4:$B$1048576,$I$3,Database!$D$4:$D$1048576,{"SB1","SB2","BMS","MKS","DPS","KDR","MLG","SMD","PTK","JBR","MNO","JPU","MTR","BPP","KPG","PLU"},Database!$S$4:$S$1048576,"=3")),IF($I$5="Apotek",SUM(SUMIFS(Database!$S$4:$S$1048576,Database!$B$4:$B$1048576,$I$3,Database!$D$4:$D$1048576,{"SB1","SB2","BMS","MKS","DPS","KDR","MLG","SMD","PTK","JBR","MNO","JPU","MTR","BPP","KPG","PLU"},Database!$S$4:$S$1048576,"=3",Database!$F$4:$F$1048576,"Apotek")),IF($I$5="Rumah Sakit",SUM(SUMIFS(Database!$S$4:$S$1048576,Database!$B$4:$B$1048576,$I$3,Database!$D$4:$D$1048576,{"SB1","SB2","BMS","MKS","DPS","KDR","MLG","SMD","PTK","JBR","MNO","JPU","MTR","BPP","KPG","PLU"},Database!$S$4:$S$1048576,"=3",Database!$F$4:$F$1048576,"Rumah sakit")),IF($I$5="Subdis",SUM(SUMIFS(Database!$S$4:$S$1048576,Database!$B$4:$B$1048576,$I$3,Database!$D$4:$D$1048576,{"SB1","SB2","BMS","MKS","DPS","KDR","MLG","SMD","PTK","JBR","MNO","JPU","MTR","BPP","KPG","PLU"},Database!$S$4:$S$1048576,"=3",Database!$F$4:$F$1048576,"Subdis")),0)))))))/$D$8</f>
        <v>0</v>
      </c>
      <c r="E21" s="23">
        <f>IF($I$4="Barat",IF($I$5="All",SUM(SUMIFS(Database!$S$4:$S$1048576,Database!$B$4:$B$1048576,$I$3,Database!$D$4:$D$1048576,{"JK2","MDN","TGR","PKB","PLB","BDL","PMS","PDG","BTM","BAC","JBI","PKP","BKL","LSE","PJT"},Database!$S$4:$S$1048576,"=4")),IF($I$5="Apotek",SUM(SUMIFS(Database!$S$4:$S$1048576,Database!$B$4:$B$1048576,$I$3,Database!$D$4:$D$1048576,{"JK2","MDN","TGR","PKB","PLB","BDL","PMS","PDG","BTM","BAC","JBI","PKP","BKL","LSE","PJT"},Database!$S$4:$S$1048576,"=4",Database!$F$4:$F$1048576,"Apotek")),IF($I$5="Rumah Sakit",SUM(SUMIFS(Database!$S$4:$S$1048576,Database!$B$4:$B$1048576,$I$3,Database!$D$4:$D$1048576,{"JK2","MDN","TGR","PKB","PLB","BDL","PMS","PDG","BTM","BAC","JBI","PKP","BKL","LSE","PJT"},Database!$S$4:$S$1048576,"=4",Database!$F$4:$F$1048576,"Rumah sakit")),IF($I$5="Subdis",SUM(SUMIFS(Database!$S$4:$S$1048576,Database!$B$4:$B$1048576,$I$3,Database!$D$4:$D$1048576,{"JK2","MDN","TGR","PKB","PLB","BDL","PMS","PDG","BTM","BAC","JBI","PKP","BKL","LSE","PJT"},Database!$S$4:$S$1048576,"=4",Database!$F$4:$F$1048576,"Subdis")),0)))),IF($I$4="Tengah",IF($I$5="All",SUM(SUMIFS(Database!$S$4:$S$1048576,Database!$B$4:$B$1048576,$I$3,Database!$D$4:$D$1048576,{"JK1","JK3","BDG","SMG","BGR","YOG","SLO","CRB","PWK","BKS","KDS","TGL","TSK","SKI","BD2"},Database!$S$4:$S$1048576,"=4")),IF($I$5="Apotek",SUM(SUMIFS(Database!$S$4:$S$1048576,Database!$B$4:$B$1048576,$I$3,Database!$D$4:$D$1048576,{"JK1","JK3","BDG","SMG","BGR","YOG","SLO","CRB","PWK","BKS","KDS","TGL","TSK","SKI","BD2"},Database!$S$4:$S$1048576,"=4",Database!$F$4:$F$1048576,"Apotek")),IF($I$5="Rumah Sakit",SUM(SUMIFS(Database!$S$4:$S$1048576,Database!$B$4:$B$1048576,$I$3,Database!$D$4:$D$1048576,{"JK1","JK3","BDG","SMG","BGR","YOG","SLO","CRB","PWK","BKS","KDS","TGL","TSK","SKI","BD2"},Database!$S$4:$S$1048576,"=4",Database!$F$4:$F$1048576,"Rumah sakit")),IF($I$5="Subdis",SUM(SUMIFS(Database!$S$4:$S$1048576,Database!$B$4:$B$1048576,$I$3,Database!$D$4:$D$1048576,{"JK1","JK3","BDG","SMG","BGR","YOG","SLO","CRB","PWK","BKS","KDS","TGL","TSK","SKI","BD2"},Database!$S$4:$S$1048576,"=4",Database!$F$4:$F$1048576,"Subdis")),0)))),IF($I$4="Timur",IF($I$5="All",SUM(SUMIFS(Database!$S$4:$S$1048576,Database!$B$4:$B$1048576,$I$3,Database!$D$4:$D$1048576,{"SB1","SB2","BMS","MKS","DPS","KDR","MLG","SMD","PTK","JBR","MNO","JPU","MTR","BPP","KPG","PLU"},Database!$S$4:$S$1048576,"=4")),IF($I$5="Apotek",SUM(SUMIFS(Database!$S$4:$S$1048576,Database!$B$4:$B$1048576,$I$3,Database!$D$4:$D$1048576,{"SB1","SB2","BMS","MKS","DPS","KDR","MLG","SMD","PTK","JBR","MNO","JPU","MTR","BPP","KPG","PLU"},Database!$S$4:$S$1048576,"=4",Database!$F$4:$F$1048576,"Apotek")),IF($I$5="Rumah Sakit",SUM(SUMIFS(Database!$S$4:$S$1048576,Database!$B$4:$B$1048576,$I$3,Database!$D$4:$D$1048576,{"SB1","SB2","BMS","MKS","DPS","KDR","MLG","SMD","PTK","JBR","MNO","JPU","MTR","BPP","KPG","PLU"},Database!$S$4:$S$1048576,"=4",Database!$F$4:$F$1048576,"Rumah sakit")),IF($I$5="Subdis",SUM(SUMIFS(Database!$S$4:$S$1048576,Database!$B$4:$B$1048576,$I$3,Database!$D$4:$D$1048576,{"SB1","SB2","BMS","MKS","DPS","KDR","MLG","SMD","PTK","JBR","MNO","JPU","MTR","BPP","KPG","PLU"},Database!$S$4:$S$1048576,"=4",Database!$F$4:$F$1048576,"Subdis")),0)))))))/$E$8</f>
        <v>0</v>
      </c>
      <c r="F21" s="9">
        <f t="shared" si="0"/>
        <v>0</v>
      </c>
      <c r="G21" s="10" t="e">
        <f t="shared" si="10"/>
        <v>#DIV/0!</v>
      </c>
      <c r="H21" s="23">
        <f>IF($I$4="Barat",IF($I$5="All",SUM(SUMIFS(Database!$AT$4:$AT$1048576,Database!$AC$4:$AC$1048576,$I$3,Database!$AE$4:$AE$1048576,{"JK2","MDN","TGR","PKB","PLB","BDL","PMS","PDG","BTM","BAC","JBI","PKP","BKL","LSE","PJT"},Database!$AT$4:$AT$1048576,"=1")),IF($I$5="Apotek",SUM(SUMIFS(Database!$AT$4:$AT$1048576,Database!$AC$4:$AC$1048576,$I$3,Database!$AE$4:$AE$1048576,{"JK2","MDN","TGR","PKB","PLB","BDL","PMS","PDG","BTM","BAC","JBI","PKP","BKL","LSE","PJT"},Database!$AT$4:$AT$1048576,"=1",Database!$AG$4:$AG$1048576,"Apotek")),IF($I$5="Rumah Sakit",SUM(SUMIFS(Database!$AT$4:$AT$1048576,Database!$AC$4:$AC$1048576,$I$3,Database!$AE$4:$AE$1048576,{"JK2","MDN","TGR","PKB","PLB","BDL","PMS","PDG","BTM","BAC","JBI","PKP","BKL","LSE","PJT"},Database!$AT$4:$AT$1048576,"=1",Database!$AG$4:$AG$1048576,"Rumah sakit")),IF($I$5="Subdis",SUM(SUMIFS(Database!$AT$4:$AT$1048576,Database!$AC$4:$AC$1048576,$I$3,Database!$AE$4:$AE$1048576,{"JK2","MDN","TGR","PKB","PLB","BDL","PMS","PDG","BTM","BAC","JBI","PKP","BKL","LSE","PJT"},Database!$AT$4:$AT$1048576,"=1",Database!$AG$4:$AG$1048576,"Subdis")),0)))),IF($I$4="Tengah",IF($I$5="All",SUM(SUMIFS(Database!$AT$4:$AT$1048576,Database!$AC$4:$AC$1048576,$I$3,Database!$AE$4:$AE$1048576,{"JK1","JK3","BDG","SMG","BGR","YOG","SLO","CRB","PWK","BKS","KDS","TGL","TSK","SKI","BD2"},Database!$AT$4:$AT$1048576,"=1")),IF($I$5="Apotek",SUM(SUMIFS(Database!$AT$4:$AT$1048576,Database!$AC$4:$AC$1048576,$I$3,Database!$AE$4:$AE$1048576,{"JK1","JK3","BDG","SMG","BGR","YOG","SLO","CRB","PWK","BKS","KDS","TGL","TSK","SKI","BD2"},Database!$AT$4:$AT$1048576,"=1",Database!$AG$4:$AG$1048576,"Apotek")),IF($I$5="Rumah Sakit",SUM(SUMIFS(Database!$AT$4:$AT$1048576,Database!$AC$4:$AC$1048576,$I$3,Database!$AE$4:$AE$1048576,{"JK1","JK3","BDG","SMG","BGR","YOG","SLO","CRB","PWK","BKS","KDS","TGL","TSK","SKI","BD2"},Database!$AT$4:$AT$1048576,"=1",Database!$AG$4:$AG$1048576,"Rumah sakit")),IF($I$5="Subdis",SUM(SUMIFS(Database!$AT$4:$AT$1048576,Database!$AC$4:$AC$1048576,$I$3,Database!$AE$4:$AE$1048576,{"JK1","JK3","BDG","SMG","BGR","YOG","SLO","CRB","PWK","BKS","KDS","TGL","TSK","SKI","BD2"},Database!$AT$4:$AT$1048576,"=1",Database!$AG$4:$AG$1048576,"Subdis")),0)))),IF($I$4="Timur",IF($I$5="All",SUM(SUMIFS(Database!$AT$4:$AT$1048576,Database!$AC$4:$AC$1048576,$I$3,Database!$AE$4:$AE$1048576,{"SB1","SB2","BMS","MKS","DPS","KDR","MLG","SMD","PTK","JBR","MNO","JPU","MTR","BPP","KPG","PLU"},Database!$AT$4:$AT$1048576,"=1")),IF($I$5="Apotek",SUM(SUMIFS(Database!$AT$4:$AT$1048576,Database!$AC$4:$AC$1048576,$I$3,Database!$AE$4:$AE$1048576,{"SB1","SB2","BMS","MKS","DPS","KDR","MLG","SMD","PTK","JBR","MNO","JPU","MTR","BPP","KPG","PLU"},Database!$AT$4:$AT$1048576,"=1",Database!$AG$4:$AG$1048576,"Apotek")),IF($I$5="Rumah Sakit",SUM(SUMIFS(Database!$AT$4:$AT$1048576,Database!$AC$4:$AC$1048576,$I$3,Database!$AE$4:$AE$1048576,{"SB1","SB2","BMS","MKS","DPS","KDR","MLG","SMD","PTK","JBR","MNO","JPU","MTR","BPP","KPG","PLU"},Database!$AT$4:$AT$1048576,"=1",Database!$AG$4:$AG$1048576,"Rumah sakit")),IF($I$5="Subdis",SUM(SUMIFS(Database!$AT$4:$AT$1048576,Database!$AC$4:$AC$1048576,$I$3,Database!$AE$4:$AE$1048576,{"SB1","SB2","BMS","MKS","DPS","KDR","MLG","SMD","PTK","JBR","MNO","JPU","MTR","BPP","KPG","PLU"},Database!$AT$4:$AT$1048576,"=1",Database!$AG$4:$AG$1048576,"Subdis")),0)))))))/$B$8</f>
        <v>0</v>
      </c>
      <c r="I21" s="23">
        <f>IF($I$4="Barat",IF($I$5="All",SUM(SUMIFS(Database!$AT$4:$AT$1048576,Database!$AC$4:$AC$1048576,$I$3,Database!$AE$4:$AE$1048576,{"JK2","MDN","TGR","PKB","PLB","BDL","PMS","PDG","BTM","BAC","JBI","PKP","BKL","LSE","PJT"},Database!$AT$4:$AT$1048576,"=2")),IF($I$5="Apotek",SUM(SUMIFS(Database!$AT$4:$AT$1048576,Database!$AC$4:$AC$1048576,$I$3,Database!$AE$4:$AE$1048576,{"JK2","MDN","TGR","PKB","PLB","BDL","PMS","PDG","BTM","BAC","JBI","PKP","BKL","LSE","PJT"},Database!$AT$4:$AT$1048576,"=2",Database!$AG$4:$AG$1048576,"Apotek")),IF($I$5="Rumah Sakit",SUM(SUMIFS(Database!$AT$4:$AT$1048576,Database!$AC$4:$AC$1048576,$I$3,Database!$AE$4:$AE$1048576,{"JK2","MDN","TGR","PKB","PLB","BDL","PMS","PDG","BTM","BAC","JBI","PKP","BKL","LSE","PJT"},Database!$AT$4:$AT$1048576,"=2",Database!$AG$4:$AG$1048576,"Rumah sakit")),IF($I$5="Subdis",SUM(SUMIFS(Database!$AT$4:$AT$1048576,Database!$AC$4:$AC$1048576,$I$3,Database!$AE$4:$AE$1048576,{"JK2","MDN","TGR","PKB","PLB","BDL","PMS","PDG","BTM","BAC","JBI","PKP","BKL","LSE","PJT"},Database!$AT$4:$AT$1048576,"=2",Database!$AG$4:$AG$1048576,"Subdis")),0)))),IF($I$4="Tengah",IF($I$5="All",SUM(SUMIFS(Database!$AT$4:$AT$1048576,Database!$AC$4:$AC$1048576,$I$3,Database!$AE$4:$AE$1048576,{"JK1","JK3","BDG","SMG","BGR","YOG","SLO","CRB","PWK","BKS","KDS","TGL","TSK","SKI","BD2"},Database!$AT$4:$AT$1048576,"=2")),IF($I$5="Apotek",SUM(SUMIFS(Database!$AT$4:$AT$1048576,Database!$AC$4:$AC$1048576,$I$3,Database!$AE$4:$AE$1048576,{"JK1","JK3","BDG","SMG","BGR","YOG","SLO","CRB","PWK","BKS","KDS","TGL","TSK","SKI","BD2"},Database!$AT$4:$AT$1048576,"=2",Database!$AG$4:$AG$1048576,"Apotek")),IF($I$5="Rumah Sakit",SUM(SUMIFS(Database!$AT$4:$AT$1048576,Database!$AC$4:$AC$1048576,$I$3,Database!$AE$4:$AE$1048576,{"JK1","JK3","BDG","SMG","BGR","YOG","SLO","CRB","PWK","BKS","KDS","TGL","TSK","SKI","BD2"},Database!$AT$4:$AT$1048576,"=2",Database!$AG$4:$AG$1048576,"Rumah sakit")),IF($I$5="Subdis",SUM(SUMIFS(Database!$AT$4:$AT$1048576,Database!$AC$4:$AC$1048576,$I$3,Database!$AE$4:$AE$1048576,{"JK1","JK3","BDG","SMG","BGR","YOG","SLO","CRB","PWK","BKS","KDS","TGL","TSK","SKI","BD2"},Database!$AT$4:$AT$1048576,"=2",Database!$AG$4:$AG$1048576,"Subdis")),0)))),IF($I$4="Timur",IF($I$5="All",SUM(SUMIFS(Database!$AT$4:$AT$1048576,Database!$AC$4:$AC$1048576,$I$3,Database!$AE$4:$AE$1048576,{"SB1","SB2","BMS","MKS","DPS","KDR","MLG","SMD","PTK","JBR","MNO","JPU","MTR","BPP","KPG","PLU"},Database!$AT$4:$AT$1048576,"=2")),IF($I$5="Apotek",SUM(SUMIFS(Database!$AT$4:$AT$1048576,Database!$AC$4:$AC$1048576,$I$3,Database!$AE$4:$AE$1048576,{"SB1","SB2","BMS","MKS","DPS","KDR","MLG","SMD","PTK","JBR","MNO","JPU","MTR","BPP","KPG","PLU"},Database!$AT$4:$AT$1048576,"=2",Database!$AG$4:$AG$1048576,"Apotek")),IF($I$5="Rumah Sakit",SUM(SUMIFS(Database!$AT$4:$AT$1048576,Database!$AC$4:$AC$1048576,$I$3,Database!$AE$4:$AE$1048576,{"SB1","SB2","BMS","MKS","DPS","KDR","MLG","SMD","PTK","JBR","MNO","JPU","MTR","BPP","KPG","PLU"},Database!$AT$4:$AT$1048576,"=2",Database!$AG$4:$AG$1048576,"Rumah sakit")),IF($I$5="Subdis",SUM(SUMIFS(Database!$AT$4:$AT$1048576,Database!$AC$4:$AC$1048576,$I$3,Database!$AE$4:$AE$1048576,{"SB1","SB2","BMS","MKS","DPS","KDR","MLG","SMD","PTK","JBR","MNO","JPU","MTR","BPP","KPG","PLU"},Database!$AT$4:$AT$1048576,"=2",Database!$AG$4:$AG$1048576,"Subdis")),0)))))))/$C$8</f>
        <v>0</v>
      </c>
      <c r="J21" s="23">
        <f>IF($I$4="Barat",IF($I$5="All",SUM(SUMIFS(Database!$AT$4:$AT$1048576,Database!$AC$4:$AC$1048576,$I$3,Database!$AE$4:$AE$1048576,{"JK2","MDN","TGR","PKB","PLB","BDL","PMS","PDG","BTM","BAC","JBI","PKP","BKL","LSE","PJT"},Database!$AT$4:$AT$1048576,"=3")),IF($I$5="Apotek",SUM(SUMIFS(Database!$AT$4:$AT$1048576,Database!$AC$4:$AC$1048576,$I$3,Database!$AE$4:$AE$1048576,{"JK2","MDN","TGR","PKB","PLB","BDL","PMS","PDG","BTM","BAC","JBI","PKP","BKL","LSE","PJT"},Database!$AT$4:$AT$1048576,"=3",Database!$AG$4:$AG$1048576,"Apotek")),IF($I$5="Rumah Sakit",SUM(SUMIFS(Database!$AT$4:$AT$1048576,Database!$AC$4:$AC$1048576,$I$3,Database!$AE$4:$AE$1048576,{"JK2","MDN","TGR","PKB","PLB","BDL","PMS","PDG","BTM","BAC","JBI","PKP","BKL","LSE","PJT"},Database!$AT$4:$AT$1048576,"=3",Database!$AG$4:$AG$1048576,"Rumah sakit")),IF($I$5="Subdis",SUM(SUMIFS(Database!$AT$4:$AT$1048576,Database!$AC$4:$AC$1048576,$I$3,Database!$AE$4:$AE$1048576,{"JK2","MDN","TGR","PKB","PLB","BDL","PMS","PDG","BTM","BAC","JBI","PKP","BKL","LSE","PJT"},Database!$AT$4:$AT$1048576,"=3",Database!$AG$4:$AG$1048576,"Subdis")),0)))),IF($I$4="Tengah",IF($I$5="All",SUM(SUMIFS(Database!$AT$4:$AT$1048576,Database!$AC$4:$AC$1048576,$I$3,Database!$AE$4:$AE$1048576,{"JK1","JK3","BDG","SMG","BGR","YOG","SLO","CRB","PWK","BKS","KDS","TGL","TSK","SKI","BD2"},Database!$AT$4:$AT$1048576,"=3")),IF($I$5="Apotek",SUM(SUMIFS(Database!$AT$4:$AT$1048576,Database!$AC$4:$AC$1048576,$I$3,Database!$AE$4:$AE$1048576,{"JK1","JK3","BDG","SMG","BGR","YOG","SLO","CRB","PWK","BKS","KDS","TGL","TSK","SKI","BD2"},Database!$AT$4:$AT$1048576,"=3",Database!$AG$4:$AG$1048576,"Apotek")),IF($I$5="Rumah Sakit",SUM(SUMIFS(Database!$AT$4:$AT$1048576,Database!$AC$4:$AC$1048576,$I$3,Database!$AE$4:$AE$1048576,{"JK1","JK3","BDG","SMG","BGR","YOG","SLO","CRB","PWK","BKS","KDS","TGL","TSK","SKI","BD2"},Database!$AT$4:$AT$1048576,"=3",Database!$AG$4:$AG$1048576,"Rumah sakit")),IF($I$5="Subdis",SUM(SUMIFS(Database!$AT$4:$AT$1048576,Database!$AC$4:$AC$1048576,$I$3,Database!$AE$4:$AE$1048576,{"JK1","JK3","BDG","SMG","BGR","YOG","SLO","CRB","PWK","BKS","KDS","TGL","TSK","SKI","BD2"},Database!$AT$4:$AT$1048576,"=3",Database!$AG$4:$AG$1048576,"Subdis")),0)))),IF($I$4="Timur",IF($I$5="All",SUM(SUMIFS(Database!$AT$4:$AT$1048576,Database!$AC$4:$AC$1048576,$I$3,Database!$AE$4:$AE$1048576,{"SB1","SB2","BMS","MKS","DPS","KDR","MLG","SMD","PTK","JBR","MNO","JPU","MTR","BPP","KPG","PLU"},Database!$AT$4:$AT$1048576,"=3")),IF($I$5="Apotek",SUM(SUMIFS(Database!$AT$4:$AT$1048576,Database!$AC$4:$AC$1048576,$I$3,Database!$AE$4:$AE$1048576,{"SB1","SB2","BMS","MKS","DPS","KDR","MLG","SMD","PTK","JBR","MNO","JPU","MTR","BPP","KPG","PLU"},Database!$AT$4:$AT$1048576,"=3",Database!$AG$4:$AG$1048576,"Apotek")),IF($I$5="Rumah Sakit",SUM(SUMIFS(Database!$AT$4:$AT$1048576,Database!$AC$4:$AC$1048576,$I$3,Database!$AE$4:$AE$1048576,{"SB1","SB2","BMS","MKS","DPS","KDR","MLG","SMD","PTK","JBR","MNO","JPU","MTR","BPP","KPG","PLU"},Database!$AT$4:$AT$1048576,"=3",Database!$AG$4:$AG$1048576,"Rumah sakit")),IF($I$5="Subdis",SUM(SUMIFS(Database!$AT$4:$AT$1048576,Database!$AC$4:$AC$1048576,$I$3,Database!$AE$4:$AE$1048576,{"SB1","SB2","BMS","MKS","DPS","KDR","MLG","SMD","PTK","JBR","MNO","JPU","MTR","BPP","KPG","PLU"},Database!$AT$4:$AT$1048576,"=3",Database!$AG$4:$AG$1048576,"Subdis")),0)))))))/$D$8</f>
        <v>0</v>
      </c>
      <c r="K21" s="23">
        <f>IF($I$4="Barat",IF($I$5="All",SUM(SUMIFS(Database!$AT$4:$AT$1048576,Database!$AC$4:$AC$1048576,$I$3,Database!$AE$4:$AE$1048576,{"JK2","MDN","TGR","PKB","PLB","BDL","PMS","PDG","BTM","BAC","JBI","PKP","BKL","LSE","PJT"},Database!$AT$4:$AT$1048576,"=4")),IF($I$5="Apotek",SUM(SUMIFS(Database!$AT$4:$AT$1048576,Database!$AC$4:$AC$1048576,$I$3,Database!$AE$4:$AE$1048576,{"JK2","MDN","TGR","PKB","PLB","BDL","PMS","PDG","BTM","BAC","JBI","PKP","BKL","LSE","PJT"},Database!$AT$4:$AT$1048576,"=4",Database!$AG$4:$AG$1048576,"Apotek")),IF($I$5="Rumah Sakit",SUM(SUMIFS(Database!$AT$4:$AT$1048576,Database!$AC$4:$AC$1048576,$I$3,Database!$AE$4:$AE$1048576,{"JK2","MDN","TGR","PKB","PLB","BDL","PMS","PDG","BTM","BAC","JBI","PKP","BKL","LSE","PJT"},Database!$AT$4:$AT$1048576,"=4",Database!$AG$4:$AG$1048576,"Rumah sakit")),IF($I$5="Subdis",SUM(SUMIFS(Database!$AT$4:$AT$1048576,Database!$AC$4:$AC$1048576,$I$3,Database!$AE$4:$AE$1048576,{"JK2","MDN","TGR","PKB","PLB","BDL","PMS","PDG","BTM","BAC","JBI","PKP","BKL","LSE","PJT"},Database!$AT$4:$AT$1048576,"=4",Database!$AG$4:$AG$1048576,"Subdis")),0)))),IF($I$4="Tengah",IF($I$5="All",SUM(SUMIFS(Database!$AT$4:$AT$1048576,Database!$AC$4:$AC$1048576,$I$3,Database!$AE$4:$AE$1048576,{"JK1","JK3","BDG","SMG","BGR","YOG","SLO","CRB","PWK","BKS","KDS","TGL","TSK","SKI","BD2"},Database!$AT$4:$AT$1048576,"=4")),IF($I$5="Apotek",SUM(SUMIFS(Database!$AT$4:$AT$1048576,Database!$AC$4:$AC$1048576,$I$3,Database!$AE$4:$AE$1048576,{"JK1","JK3","BDG","SMG","BGR","YOG","SLO","CRB","PWK","BKS","KDS","TGL","TSK","SKI","BD2"},Database!$AT$4:$AT$1048576,"=4",Database!$AG$4:$AG$1048576,"Apotek")),IF($I$5="Rumah Sakit",SUM(SUMIFS(Database!$AT$4:$AT$1048576,Database!$AC$4:$AC$1048576,$I$3,Database!$AE$4:$AE$1048576,{"JK1","JK3","BDG","SMG","BGR","YOG","SLO","CRB","PWK","BKS","KDS","TGL","TSK","SKI","BD2"},Database!$AT$4:$AT$1048576,"=4",Database!$AG$4:$AG$1048576,"Rumah sakit")),IF($I$5="Subdis",SUM(SUMIFS(Database!$AT$4:$AT$1048576,Database!$AC$4:$AC$1048576,$I$3,Database!$AE$4:$AE$1048576,{"JK1","JK3","BDG","SMG","BGR","YOG","SLO","CRB","PWK","BKS","KDS","TGL","TSK","SKI","BD2"},Database!$AT$4:$AT$1048576,"=4",Database!$AG$4:$AG$1048576,"Subdis")),0)))),IF($I$4="Timur",IF($I$5="All",SUM(SUMIFS(Database!$AT$4:$AT$1048576,Database!$AC$4:$AC$1048576,$I$3,Database!$AE$4:$AE$1048576,{"SB1","SB2","BMS","MKS","DPS","KDR","MLG","SMD","PTK","JBR","MNO","JPU","MTR","BPP","KPG","PLU"},Database!$AT$4:$AT$1048576,"=4")),IF($I$5="Apotek",SUM(SUMIFS(Database!$AT$4:$AT$1048576,Database!$AC$4:$AC$1048576,$I$3,Database!$AE$4:$AE$1048576,{"SB1","SB2","BMS","MKS","DPS","KDR","MLG","SMD","PTK","JBR","MNO","JPU","MTR","BPP","KPG","PLU"},Database!$AT$4:$AT$1048576,"=4",Database!$AG$4:$AG$1048576,"Apotek")),IF($I$5="Rumah Sakit",SUM(SUMIFS(Database!$AT$4:$AT$1048576,Database!$AC$4:$AC$1048576,$I$3,Database!$AE$4:$AE$1048576,{"SB1","SB2","BMS","MKS","DPS","KDR","MLG","SMD","PTK","JBR","MNO","JPU","MTR","BPP","KPG","PLU"},Database!$AT$4:$AT$1048576,"=4",Database!$AG$4:$AG$1048576,"Rumah sakit")),IF($I$5="Subdis",SUM(SUMIFS(Database!$AT$4:$AT$1048576,Database!$AC$4:$AC$1048576,$I$3,Database!$AE$4:$AE$1048576,{"SB1","SB2","BMS","MKS","DPS","KDR","MLG","SMD","PTK","JBR","MNO","JPU","MTR","BPP","KPG","PLU"},Database!$AT$4:$AT$1048576,"=4",Database!$AG$4:$AG$1048576,"Subdis")),0)))))))/$E$8</f>
        <v>0</v>
      </c>
      <c r="L21" s="9">
        <f t="shared" si="1"/>
        <v>0</v>
      </c>
      <c r="M21" s="10" t="e">
        <f t="shared" si="2"/>
        <v>#DIV/0!</v>
      </c>
      <c r="N21" s="10" t="e">
        <f t="shared" si="3"/>
        <v>#DIV/0!</v>
      </c>
      <c r="O21" s="32" t="e">
        <f t="shared" si="4"/>
        <v>#DIV/0!</v>
      </c>
      <c r="P21" s="11" t="s">
        <v>58</v>
      </c>
      <c r="Q21" s="32" t="e">
        <f t="shared" ref="Q21:Q22" si="15">RANK(N21,$N$20:$N$22,0)</f>
        <v>#DIV/0!</v>
      </c>
      <c r="R21" s="81" t="e">
        <f t="shared" si="6"/>
        <v>#DIV/0!</v>
      </c>
      <c r="S21" s="81" t="e">
        <f t="shared" si="7"/>
        <v>#DIV/0!</v>
      </c>
      <c r="T21" s="81" t="e">
        <f t="shared" ref="T21:T22" si="16">RANK(G21,$G$20:$G$22)</f>
        <v>#DIV/0!</v>
      </c>
      <c r="U21" s="81" t="e">
        <f t="shared" ref="U21:U22" si="17">RANK(M21,$M$20:$M$22)</f>
        <v>#DIV/0!</v>
      </c>
      <c r="V21" s="254"/>
    </row>
    <row r="22" spans="1:22" ht="18" x14ac:dyDescent="0.35">
      <c r="A22" s="9" t="s">
        <v>27</v>
      </c>
      <c r="B22" s="23">
        <f>IF($I$4="Barat",IF($I$5="All",SUM(SUMIFS(Database!$T$4:$T$1048576,Database!$B$4:$B$1048576,$I$3,Database!$D$4:$D$1048576,{"JK2","MDN","TGR","PKB","PLB","BDL","PMS","PDG","BTM","BAC","JBI","PKP","BKL","LSE","PJT"},Database!$T$4:$T$1048576,"=1")),IF($I$5="Apotek",SUM(SUMIFS(Database!$T$4:$T$1048576,Database!$B$4:$B$1048576,$I$3,Database!$D$4:$D$1048576,{"JK2","MDN","TGR","PKB","PLB","BDL","PMS","PDG","BTM","BAC","JBI","PKP","BKL","LSE","PJT"},Database!$T$4:$T$1048576,"=1",Database!$F$4:$F$1048576,"Apotek")),IF($I$5="Rumah Sakit",SUM(SUMIFS(Database!$T$4:$T$1048576,Database!$B$4:$B$1048576,$I$3,Database!$D$4:$D$1048576,{"JK2","MDN","TGR","PKB","PLB","BDL","PMS","PDG","BTM","BAC","JBI","PKP","BKL","LSE","PJT"},Database!$T$4:$T$1048576,"=1",Database!$F$4:$F$1048576,"Rumah sakit")),IF($I$5="Subdis",SUM(SUMIFS(Database!$T$4:$T$1048576,Database!$B$4:$B$1048576,$I$3,Database!$D$4:$D$1048576,{"JK2","MDN","TGR","PKB","PLB","BDL","PMS","PDG","BTM","BAC","JBI","PKP","BKL","LSE","PJT"},Database!$T$4:$T$1048576,"=1",Database!$F$4:$F$1048576,"Subdis")),0)))),IF($I$4="Tengah",IF($I$5="All",SUM(SUMIFS(Database!$T$4:$T$1048576,Database!$B$4:$B$1048576,$I$3,Database!$D$4:$D$1048576,{"JK1","JK3","BDG","SMG","BGR","YOG","SLO","CRB","PWK","BKS","KDS","TGL","TSK","SKI","BD2"},Database!$T$4:$T$1048576,"=1")),IF($I$5="Apotek",SUM(SUMIFS(Database!$T$4:$T$1048576,Database!$B$4:$B$1048576,$I$3,Database!$D$4:$D$1048576,{"JK1","JK3","BDG","SMG","BGR","YOG","SLO","CRB","PWK","BKS","KDS","TGL","TSK","SKI","BD2"},Database!$T$4:$T$1048576,"=1",Database!$F$4:$F$1048576,"Apotek")),IF($I$5="Rumah Sakit",SUM(SUMIFS(Database!$T$4:$T$1048576,Database!$B$4:$B$1048576,$I$3,Database!$D$4:$D$1048576,{"JK1","JK3","BDG","SMG","BGR","YOG","SLO","CRB","PWK","BKS","KDS","TGL","TSK","SKI","BD2"},Database!$T$4:$T$1048576,"=1",Database!$F$4:$F$1048576,"Rumah sakit")),IF($I$5="Subdis",SUM(SUMIFS(Database!$T$4:$T$1048576,Database!$B$4:$B$1048576,$I$3,Database!$D$4:$D$1048576,{"JK1","JK3","BDG","SMG","BGR","YOG","SLO","CRB","PWK","BKS","KDS","TGL","TSK","SKI","BD2"},Database!$T$4:$T$1048576,"=1",Database!$F$4:$F$1048576,"Subdis")),0)))),IF($I$4="Timur",IF($I$5="All",SUM(SUMIFS(Database!$T$4:$T$1048576,Database!$B$4:$B$1048576,$I$3,Database!$D$4:$D$1048576,{"SB1","SB2","BMS","MKS","DPS","KDR","MLG","SMD","PTK","JBR","MNO","JPU","MTR","BPP","KPG","PLU"},Database!$T$4:$T$1048576,"=1")),IF($I$5="Apotek",SUM(SUMIFS(Database!$T$4:$T$1048576,Database!$B$4:$B$1048576,$I$3,Database!$D$4:$D$1048576,{"SB1","SB2","BMS","MKS","DPS","KDR","MLG","SMD","PTK","JBR","MNO","JPU","MTR","BPP","KPG","PLU"},Database!$T$4:$T$1048576,"=1",Database!$F$4:$F$1048576,"Apotek")),IF($I$5="Rumah Sakit",SUM(SUMIFS(Database!$T$4:$T$1048576,Database!$B$4:$B$1048576,$I$3,Database!$D$4:$D$1048576,{"SB1","SB2","BMS","MKS","DPS","KDR","MLG","SMD","PTK","JBR","MNO","JPU","MTR","BPP","KPG","PLU"},Database!$T$4:$T$1048576,"=1",Database!$F$4:$F$1048576,"Rumah sakit")),IF($I$5="Subdis",SUM(SUMIFS(Database!$T$4:$T$1048576,Database!$B$4:$B$1048576,$I$3,Database!$D$4:$D$1048576,{"SB1","SB2","BMS","MKS","DPS","KDR","MLG","SMD","PTK","JBR","MNO","JPU","MTR","BPP","KPG","PLU"},Database!$T$4:$T$1048576,"=1",Database!$F$4:$F$1048576,"Subdis")),0)))))))/$B$8</f>
        <v>0</v>
      </c>
      <c r="C22" s="23">
        <f>IF($I$4="Barat",IF($I$5="All",SUM(SUMIFS(Database!$T$4:$T$1048576,Database!$B$4:$B$1048576,$I$3,Database!$D$4:$D$1048576,{"JK2","MDN","TGR","PKB","PLB","BDL","PMS","PDG","BTM","BAC","JBI","PKP","BKL","LSE","PJT"},Database!$T$4:$T$1048576,"=2")),IF($I$5="Apotek",SUM(SUMIFS(Database!$T$4:$T$1048576,Database!$B$4:$B$1048576,$I$3,Database!$D$4:$D$1048576,{"JK2","MDN","TGR","PKB","PLB","BDL","PMS","PDG","BTM","BAC","JBI","PKP","BKL","LSE","PJT"},Database!$T$4:$T$1048576,"=2",Database!$F$4:$F$1048576,"Apotek")),IF($I$5="Rumah Sakit",SUM(SUMIFS(Database!$T$4:$T$1048576,Database!$B$4:$B$1048576,$I$3,Database!$D$4:$D$1048576,{"JK2","MDN","TGR","PKB","PLB","BDL","PMS","PDG","BTM","BAC","JBI","PKP","BKL","LSE","PJT"},Database!$T$4:$T$1048576,"=2",Database!$F$4:$F$1048576,"Rumah sakit")),IF($I$5="Subdis",SUM(SUMIFS(Database!$T$4:$T$1048576,Database!$B$4:$B$1048576,$I$3,Database!$D$4:$D$1048576,{"JK2","MDN","TGR","PKB","PLB","BDL","PMS","PDG","BTM","BAC","JBI","PKP","BKL","LSE","PJT"},Database!$T$4:$T$1048576,"=2",Database!$F$4:$F$1048576,"Subdis")),0)))),IF($I$4="Tengah",IF($I$5="All",SUM(SUMIFS(Database!$T$4:$T$1048576,Database!$B$4:$B$1048576,$I$3,Database!$D$4:$D$1048576,{"JK1","JK3","BDG","SMG","BGR","YOG","SLO","CRB","PWK","BKS","KDS","TGL","TSK","SKI","BD2"},Database!$T$4:$T$1048576,"=2")),IF($I$5="Apotek",SUM(SUMIFS(Database!$T$4:$T$1048576,Database!$B$4:$B$1048576,$I$3,Database!$D$4:$D$1048576,{"JK1","JK3","BDG","SMG","BGR","YOG","SLO","CRB","PWK","BKS","KDS","TGL","TSK","SKI","BD2"},Database!$T$4:$T$1048576,"=2",Database!$F$4:$F$1048576,"Apotek")),IF($I$5="Rumah Sakit",SUM(SUMIFS(Database!$T$4:$T$1048576,Database!$B$4:$B$1048576,$I$3,Database!$D$4:$D$1048576,{"JK1","JK3","BDG","SMG","BGR","YOG","SLO","CRB","PWK","BKS","KDS","TGL","TSK","SKI","BD2"},Database!$T$4:$T$1048576,"=2",Database!$F$4:$F$1048576,"Rumah sakit")),IF($I$5="Subdis",SUM(SUMIFS(Database!$T$4:$T$1048576,Database!$B$4:$B$1048576,$I$3,Database!$D$4:$D$1048576,{"JK1","JK3","BDG","SMG","BGR","YOG","SLO","CRB","PWK","BKS","KDS","TGL","TSK","SKI","BD2"},Database!$T$4:$T$1048576,"=2",Database!$F$4:$F$1048576,"Subdis")),0)))),IF($I$4="Timur",IF($I$5="All",SUM(SUMIFS(Database!$T$4:$T$1048576,Database!$B$4:$B$1048576,$I$3,Database!$D$4:$D$1048576,{"SB1","SB2","BMS","MKS","DPS","KDR","MLG","SMD","PTK","JBR","MNO","JPU","MTR","BPP","KPG","PLU"},Database!$T$4:$T$1048576,"=2")),IF($I$5="Apotek",SUM(SUMIFS(Database!$T$4:$T$1048576,Database!$B$4:$B$1048576,$I$3,Database!$D$4:$D$1048576,{"SB1","SB2","BMS","MKS","DPS","KDR","MLG","SMD","PTK","JBR","MNO","JPU","MTR","BPP","KPG","PLU"},Database!$T$4:$T$1048576,"=2",Database!$F$4:$F$1048576,"Apotek")),IF($I$5="Rumah Sakit",SUM(SUMIFS(Database!$T$4:$T$1048576,Database!$B$4:$B$1048576,$I$3,Database!$D$4:$D$1048576,{"SB1","SB2","BMS","MKS","DPS","KDR","MLG","SMD","PTK","JBR","MNO","JPU","MTR","BPP","KPG","PLU"},Database!$T$4:$T$1048576,"=2",Database!$F$4:$F$1048576,"Rumah sakit")),IF($I$5="Subdis",SUM(SUMIFS(Database!$T$4:$T$1048576,Database!$B$4:$B$1048576,$I$3,Database!$D$4:$D$1048576,{"SB1","SB2","BMS","MKS","DPS","KDR","MLG","SMD","PTK","JBR","MNO","JPU","MTR","BPP","KPG","PLU"},Database!$T$4:$T$1048576,"=2",Database!$F$4:$F$1048576,"Subdis")),0)))))))/$C$8</f>
        <v>0</v>
      </c>
      <c r="D22" s="23">
        <f>IF($I$4="Barat",IF($I$5="All",SUM(SUMIFS(Database!$T$4:$T$1048576,Database!$B$4:$B$1048576,$I$3,Database!$D$4:$D$1048576,{"JK2","MDN","TGR","PKB","PLB","BDL","PMS","PDG","BTM","BAC","JBI","PKP","BKL","LSE","PJT"},Database!$T$4:$T$1048576,"=3")),IF($I$5="Apotek",SUM(SUMIFS(Database!$T$4:$T$1048576,Database!$B$4:$B$1048576,$I$3,Database!$D$4:$D$1048576,{"JK2","MDN","TGR","PKB","PLB","BDL","PMS","PDG","BTM","BAC","JBI","PKP","BKL","LSE","PJT"},Database!$T$4:$T$1048576,"=3",Database!$F$4:$F$1048576,"Apotek")),IF($I$5="Rumah Sakit",SUM(SUMIFS(Database!$T$4:$T$1048576,Database!$B$4:$B$1048576,$I$3,Database!$D$4:$D$1048576,{"JK2","MDN","TGR","PKB","PLB","BDL","PMS","PDG","BTM","BAC","JBI","PKP","BKL","LSE","PJT"},Database!$T$4:$T$1048576,"=3",Database!$F$4:$F$1048576,"Rumah sakit")),IF($I$5="Subdis",SUM(SUMIFS(Database!$T$4:$T$1048576,Database!$B$4:$B$1048576,$I$3,Database!$D$4:$D$1048576,{"JK2","MDN","TGR","PKB","PLB","BDL","PMS","PDG","BTM","BAC","JBI","PKP","BKL","LSE","PJT"},Database!$T$4:$T$1048576,"=3",Database!$F$4:$F$1048576,"Subdis")),0)))),IF($I$4="Tengah",IF($I$5="All",SUM(SUMIFS(Database!$T$4:$T$1048576,Database!$B$4:$B$1048576,$I$3,Database!$D$4:$D$1048576,{"JK1","JK3","BDG","SMG","BGR","YOG","SLO","CRB","PWK","BKS","KDS","TGL","TSK","SKI","BD2"},Database!$T$4:$T$1048576,"=3")),IF($I$5="Apotek",SUM(SUMIFS(Database!$T$4:$T$1048576,Database!$B$4:$B$1048576,$I$3,Database!$D$4:$D$1048576,{"JK1","JK3","BDG","SMG","BGR","YOG","SLO","CRB","PWK","BKS","KDS","TGL","TSK","SKI","BD2"},Database!$T$4:$T$1048576,"=3",Database!$F$4:$F$1048576,"Apotek")),IF($I$5="Rumah Sakit",SUM(SUMIFS(Database!$T$4:$T$1048576,Database!$B$4:$B$1048576,$I$3,Database!$D$4:$D$1048576,{"JK1","JK3","BDG","SMG","BGR","YOG","SLO","CRB","PWK","BKS","KDS","TGL","TSK","SKI","BD2"},Database!$T$4:$T$1048576,"=3",Database!$F$4:$F$1048576,"Rumah sakit")),IF($I$5="Subdis",SUM(SUMIFS(Database!$T$4:$T$1048576,Database!$B$4:$B$1048576,$I$3,Database!$D$4:$D$1048576,{"JK1","JK3","BDG","SMG","BGR","YOG","SLO","CRB","PWK","BKS","KDS","TGL","TSK","SKI","BD2"},Database!$T$4:$T$1048576,"=3",Database!$F$4:$F$1048576,"Subdis")),0)))),IF($I$4="Timur",IF($I$5="All",SUM(SUMIFS(Database!$T$4:$T$1048576,Database!$B$4:$B$1048576,$I$3,Database!$D$4:$D$1048576,{"SB1","SB2","BMS","MKS","DPS","KDR","MLG","SMD","PTK","JBR","MNO","JPU","MTR","BPP","KPG","PLU"},Database!$T$4:$T$1048576,"=3")),IF($I$5="Apotek",SUM(SUMIFS(Database!$T$4:$T$1048576,Database!$B$4:$B$1048576,$I$3,Database!$D$4:$D$1048576,{"SB1","SB2","BMS","MKS","DPS","KDR","MLG","SMD","PTK","JBR","MNO","JPU","MTR","BPP","KPG","PLU"},Database!$T$4:$T$1048576,"=3",Database!$F$4:$F$1048576,"Apotek")),IF($I$5="Rumah Sakit",SUM(SUMIFS(Database!$T$4:$T$1048576,Database!$B$4:$B$1048576,$I$3,Database!$D$4:$D$1048576,{"SB1","SB2","BMS","MKS","DPS","KDR","MLG","SMD","PTK","JBR","MNO","JPU","MTR","BPP","KPG","PLU"},Database!$T$4:$T$1048576,"=3",Database!$F$4:$F$1048576,"Rumah sakit")),IF($I$5="Subdis",SUM(SUMIFS(Database!$T$4:$T$1048576,Database!$B$4:$B$1048576,$I$3,Database!$D$4:$D$1048576,{"SB1","SB2","BMS","MKS","DPS","KDR","MLG","SMD","PTK","JBR","MNO","JPU","MTR","BPP","KPG","PLU"},Database!$T$4:$T$1048576,"=3",Database!$F$4:$F$1048576,"Subdis")),0)))))))/$D$8</f>
        <v>0</v>
      </c>
      <c r="E22" s="23">
        <f>IF($I$4="Barat",IF($I$5="All",SUM(SUMIFS(Database!$T$4:$T$1048576,Database!$B$4:$B$1048576,$I$3,Database!$D$4:$D$1048576,{"JK2","MDN","TGR","PKB","PLB","BDL","PMS","PDG","BTM","BAC","JBI","PKP","BKL","LSE","PJT"},Database!$T$4:$T$1048576,"=4")),IF($I$5="Apotek",SUM(SUMIFS(Database!$T$4:$T$1048576,Database!$B$4:$B$1048576,$I$3,Database!$D$4:$D$1048576,{"JK2","MDN","TGR","PKB","PLB","BDL","PMS","PDG","BTM","BAC","JBI","PKP","BKL","LSE","PJT"},Database!$T$4:$T$1048576,"=4",Database!$F$4:$F$1048576,"Apotek")),IF($I$5="Rumah Sakit",SUM(SUMIFS(Database!$T$4:$T$1048576,Database!$B$4:$B$1048576,$I$3,Database!$D$4:$D$1048576,{"JK2","MDN","TGR","PKB","PLB","BDL","PMS","PDG","BTM","BAC","JBI","PKP","BKL","LSE","PJT"},Database!$T$4:$T$1048576,"=4",Database!$F$4:$F$1048576,"Rumah sakit")),IF($I$5="Subdis",SUM(SUMIFS(Database!$T$4:$T$1048576,Database!$B$4:$B$1048576,$I$3,Database!$D$4:$D$1048576,{"JK2","MDN","TGR","PKB","PLB","BDL","PMS","PDG","BTM","BAC","JBI","PKP","BKL","LSE","PJT"},Database!$T$4:$T$1048576,"=4",Database!$F$4:$F$1048576,"Subdis")),0)))),IF($I$4="Tengah",IF($I$5="All",SUM(SUMIFS(Database!$T$4:$T$1048576,Database!$B$4:$B$1048576,$I$3,Database!$D$4:$D$1048576,{"JK1","JK3","BDG","SMG","BGR","YOG","SLO","CRB","PWK","BKS","KDS","TGL","TSK","SKI","BD2"},Database!$T$4:$T$1048576,"=4")),IF($I$5="Apotek",SUM(SUMIFS(Database!$T$4:$T$1048576,Database!$B$4:$B$1048576,$I$3,Database!$D$4:$D$1048576,{"JK1","JK3","BDG","SMG","BGR","YOG","SLO","CRB","PWK","BKS","KDS","TGL","TSK","SKI","BD2"},Database!$T$4:$T$1048576,"=4",Database!$F$4:$F$1048576,"Apotek")),IF($I$5="Rumah Sakit",SUM(SUMIFS(Database!$T$4:$T$1048576,Database!$B$4:$B$1048576,$I$3,Database!$D$4:$D$1048576,{"JK1","JK3","BDG","SMG","BGR","YOG","SLO","CRB","PWK","BKS","KDS","TGL","TSK","SKI","BD2"},Database!$T$4:$T$1048576,"=4",Database!$F$4:$F$1048576,"Rumah sakit")),IF($I$5="Subdis",SUM(SUMIFS(Database!$T$4:$T$1048576,Database!$B$4:$B$1048576,$I$3,Database!$D$4:$D$1048576,{"JK1","JK3","BDG","SMG","BGR","YOG","SLO","CRB","PWK","BKS","KDS","TGL","TSK","SKI","BD2"},Database!$T$4:$T$1048576,"=4",Database!$F$4:$F$1048576,"Subdis")),0)))),IF($I$4="Timur",IF($I$5="All",SUM(SUMIFS(Database!$T$4:$T$1048576,Database!$B$4:$B$1048576,$I$3,Database!$D$4:$D$1048576,{"SB1","SB2","BMS","MKS","DPS","KDR","MLG","SMD","PTK","JBR","MNO","JPU","MTR","BPP","KPG","PLU"},Database!$T$4:$T$1048576,"=4")),IF($I$5="Apotek",SUM(SUMIFS(Database!$T$4:$T$1048576,Database!$B$4:$B$1048576,$I$3,Database!$D$4:$D$1048576,{"SB1","SB2","BMS","MKS","DPS","KDR","MLG","SMD","PTK","JBR","MNO","JPU","MTR","BPP","KPG","PLU"},Database!$T$4:$T$1048576,"=4",Database!$F$4:$F$1048576,"Apotek")),IF($I$5="Rumah Sakit",SUM(SUMIFS(Database!$T$4:$T$1048576,Database!$B$4:$B$1048576,$I$3,Database!$D$4:$D$1048576,{"SB1","SB2","BMS","MKS","DPS","KDR","MLG","SMD","PTK","JBR","MNO","JPU","MTR","BPP","KPG","PLU"},Database!$T$4:$T$1048576,"=4",Database!$F$4:$F$1048576,"Rumah sakit")),IF($I$5="Subdis",SUM(SUMIFS(Database!$T$4:$T$1048576,Database!$B$4:$B$1048576,$I$3,Database!$D$4:$D$1048576,{"SB1","SB2","BMS","MKS","DPS","KDR","MLG","SMD","PTK","JBR","MNO","JPU","MTR","BPP","KPG","PLU"},Database!$T$4:$T$1048576,"=4",Database!$F$4:$F$1048576,"Subdis")),0)))))))/$E$8</f>
        <v>0</v>
      </c>
      <c r="F22" s="9">
        <f t="shared" si="0"/>
        <v>0</v>
      </c>
      <c r="G22" s="10" t="e">
        <f t="shared" si="10"/>
        <v>#DIV/0!</v>
      </c>
      <c r="H22" s="23">
        <f>IF($I$4="Barat",IF($I$5="All",SUM(SUMIFS(Database!$AU$4:$AU$1048576,Database!$AC$4:$AC$1048576,$I$3,Database!$AE$4:$AE$1048576,{"JK2","MDN","TGR","PKB","PLB","BDL","PMS","PDG","BTM","BAC","JBI","PKP","BKL","LSE","PJT"},Database!$AU$4:$AU$1048576,"=1")),IF($I$5="Apotek",SUM(SUMIFS(Database!$AU$4:$AU$1048576,Database!$AC$4:$AC$1048576,$I$3,Database!$AE$4:$AE$1048576,{"JK2","MDN","TGR","PKB","PLB","BDL","PMS","PDG","BTM","BAC","JBI","PKP","BKL","LSE","PJT"},Database!$AU$4:$AU$1048576,"=1",Database!$AG$4:$AG$1048576,"Apotek")),IF($I$5="Rumah Sakit",SUM(SUMIFS(Database!$AU$4:$AU$1048576,Database!$AC$4:$AC$1048576,$I$3,Database!$AE$4:$AE$1048576,{"JK2","MDN","TGR","PKB","PLB","BDL","PMS","PDG","BTM","BAC","JBI","PKP","BKL","LSE","PJT"},Database!$AU$4:$AU$1048576,"=1",Database!$AG$4:$AG$1048576,"Rumah sakit")),IF($I$5="Subdis",SUM(SUMIFS(Database!$AU$4:$AU$1048576,Database!$AC$4:$AC$1048576,$I$3,Database!$AE$4:$AE$1048576,{"JK2","MDN","TGR","PKB","PLB","BDL","PMS","PDG","BTM","BAC","JBI","PKP","BKL","LSE","PJT"},Database!$AU$4:$AU$1048576,"=1",Database!$AG$4:$AG$1048576,"Subdis")),0)))),IF($I$4="Tengah",IF($I$5="All",SUM(SUMIFS(Database!$AU$4:$AU$1048576,Database!$AC$4:$AC$1048576,$I$3,Database!$AE$4:$AE$1048576,{"JK1","JK3","BDG","SMG","BGR","YOG","SLO","CRB","PWK","BKS","KDS","TGL","TSK","SKI","BD2"},Database!$AU$4:$AU$1048576,"=1")),IF($I$5="Apotek",SUM(SUMIFS(Database!$AU$4:$AU$1048576,Database!$AC$4:$AC$1048576,$I$3,Database!$AE$4:$AE$1048576,{"JK1","JK3","BDG","SMG","BGR","YOG","SLO","CRB","PWK","BKS","KDS","TGL","TSK","SKI","BD2"},Database!$AU$4:$AU$1048576,"=1",Database!$AG$4:$AG$1048576,"Apotek")),IF($I$5="Rumah Sakit",SUM(SUMIFS(Database!$AU$4:$AU$1048576,Database!$AC$4:$AC$1048576,$I$3,Database!$AE$4:$AE$1048576,{"JK1","JK3","BDG","SMG","BGR","YOG","SLO","CRB","PWK","BKS","KDS","TGL","TSK","SKI","BD2"},Database!$AU$4:$AU$1048576,"=1",Database!$AG$4:$AG$1048576,"Rumah sakit")),IF($I$5="Subdis",SUM(SUMIFS(Database!$AU$4:$AU$1048576,Database!$AC$4:$AC$1048576,$I$3,Database!$AE$4:$AE$1048576,{"JK1","JK3","BDG","SMG","BGR","YOG","SLO","CRB","PWK","BKS","KDS","TGL","TSK","SKI","BD2"},Database!$AU$4:$AU$1048576,"=1",Database!$AG$4:$AG$1048576,"Subdis")),0)))),IF($I$4="Timur",IF($I$5="All",SUM(SUMIFS(Database!$AU$4:$AU$1048576,Database!$AC$4:$AC$1048576,$I$3,Database!$AE$4:$AE$1048576,{"SB1","SB2","BMS","MKS","DPS","KDR","MLG","SMD","PTK","JBR","MNO","JPU","MTR","BPP","KPG","PLU"},Database!$AU$4:$AU$1048576,"=1")),IF($I$5="Apotek",SUM(SUMIFS(Database!$AU$4:$AU$1048576,Database!$AC$4:$AC$1048576,$I$3,Database!$AE$4:$AE$1048576,{"SB1","SB2","BMS","MKS","DPS","KDR","MLG","SMD","PTK","JBR","MNO","JPU","MTR","BPP","KPG","PLU"},Database!$AU$4:$AU$1048576,"=1",Database!$AG$4:$AG$1048576,"Apotek")),IF($I$5="Rumah Sakit",SUM(SUMIFS(Database!$AU$4:$AU$1048576,Database!$AC$4:$AC$1048576,$I$3,Database!$AE$4:$AE$1048576,{"SB1","SB2","BMS","MKS","DPS","KDR","MLG","SMD","PTK","JBR","MNO","JPU","MTR","BPP","KPG","PLU"},Database!$AU$4:$AU$1048576,"=1",Database!$AG$4:$AG$1048576,"Rumah sakit")),IF($I$5="Subdis",SUM(SUMIFS(Database!$AU$4:$AU$1048576,Database!$AC$4:$AC$1048576,$I$3,Database!$AE$4:$AE$1048576,{"SB1","SB2","BMS","MKS","DPS","KDR","MLG","SMD","PTK","JBR","MNO","JPU","MTR","BPP","KPG","PLU"},Database!$AU$4:$AU$1048576,"=1",Database!$AG$4:$AG$1048576,"Subdis")),0)))))))/$B$8</f>
        <v>0</v>
      </c>
      <c r="I22" s="23">
        <f>IF($I$4="Barat",IF($I$5="All",SUM(SUMIFS(Database!$AU$4:$AU$1048576,Database!$AC$4:$AC$1048576,$I$3,Database!$AE$4:$AE$1048576,{"JK2","MDN","TGR","PKB","PLB","BDL","PMS","PDG","BTM","BAC","JBI","PKP","BKL","LSE","PJT"},Database!$AU$4:$AU$1048576,"=2")),IF($I$5="Apotek",SUM(SUMIFS(Database!$AU$4:$AU$1048576,Database!$AC$4:$AC$1048576,$I$3,Database!$AE$4:$AE$1048576,{"JK2","MDN","TGR","PKB","PLB","BDL","PMS","PDG","BTM","BAC","JBI","PKP","BKL","LSE","PJT"},Database!$AU$4:$AU$1048576,"=2",Database!$AG$4:$AG$1048576,"Apotek")),IF($I$5="Rumah Sakit",SUM(SUMIFS(Database!$AU$4:$AU$1048576,Database!$AC$4:$AC$1048576,$I$3,Database!$AE$4:$AE$1048576,{"JK2","MDN","TGR","PKB","PLB","BDL","PMS","PDG","BTM","BAC","JBI","PKP","BKL","LSE","PJT"},Database!$AU$4:$AU$1048576,"=2",Database!$AG$4:$AG$1048576,"Rumah sakit")),IF($I$5="Subdis",SUM(SUMIFS(Database!$AU$4:$AU$1048576,Database!$AC$4:$AC$1048576,$I$3,Database!$AE$4:$AE$1048576,{"JK2","MDN","TGR","PKB","PLB","BDL","PMS","PDG","BTM","BAC","JBI","PKP","BKL","LSE","PJT"},Database!$AU$4:$AU$1048576,"=2",Database!$AG$4:$AG$1048576,"Subdis")),0)))),IF($I$4="Tengah",IF($I$5="All",SUM(SUMIFS(Database!$AU$4:$AU$1048576,Database!$AC$4:$AC$1048576,$I$3,Database!$AE$4:$AE$1048576,{"JK1","JK3","BDG","SMG","BGR","YOG","SLO","CRB","PWK","BKS","KDS","TGL","TSK","SKI","BD2"},Database!$AU$4:$AU$1048576,"=2")),IF($I$5="Apotek",SUM(SUMIFS(Database!$AU$4:$AU$1048576,Database!$AC$4:$AC$1048576,$I$3,Database!$AE$4:$AE$1048576,{"JK1","JK3","BDG","SMG","BGR","YOG","SLO","CRB","PWK","BKS","KDS","TGL","TSK","SKI","BD2"},Database!$AU$4:$AU$1048576,"=2",Database!$AG$4:$AG$1048576,"Apotek")),IF($I$5="Rumah Sakit",SUM(SUMIFS(Database!$AU$4:$AU$1048576,Database!$AC$4:$AC$1048576,$I$3,Database!$AE$4:$AE$1048576,{"JK1","JK3","BDG","SMG","BGR","YOG","SLO","CRB","PWK","BKS","KDS","TGL","TSK","SKI","BD2"},Database!$AU$4:$AU$1048576,"=2",Database!$AG$4:$AG$1048576,"Rumah sakit")),IF($I$5="Subdis",SUM(SUMIFS(Database!$AU$4:$AU$1048576,Database!$AC$4:$AC$1048576,$I$3,Database!$AE$4:$AE$1048576,{"JK1","JK3","BDG","SMG","BGR","YOG","SLO","CRB","PWK","BKS","KDS","TGL","TSK","SKI","BD2"},Database!$AU$4:$AU$1048576,"=2",Database!$AG$4:$AG$1048576,"Subdis")),0)))),IF($I$4="Timur",IF($I$5="All",SUM(SUMIFS(Database!$AU$4:$AU$1048576,Database!$AC$4:$AC$1048576,$I$3,Database!$AE$4:$AE$1048576,{"SB1","SB2","BMS","MKS","DPS","KDR","MLG","SMD","PTK","JBR","MNO","JPU","MTR","BPP","KPG","PLU"},Database!$AU$4:$AU$1048576,"=2")),IF($I$5="Apotek",SUM(SUMIFS(Database!$AU$4:$AU$1048576,Database!$AC$4:$AC$1048576,$I$3,Database!$AE$4:$AE$1048576,{"SB1","SB2","BMS","MKS","DPS","KDR","MLG","SMD","PTK","JBR","MNO","JPU","MTR","BPP","KPG","PLU"},Database!$AU$4:$AU$1048576,"=2",Database!$AG$4:$AG$1048576,"Apotek")),IF($I$5="Rumah Sakit",SUM(SUMIFS(Database!$AU$4:$AU$1048576,Database!$AC$4:$AC$1048576,$I$3,Database!$AE$4:$AE$1048576,{"SB1","SB2","BMS","MKS","DPS","KDR","MLG","SMD","PTK","JBR","MNO","JPU","MTR","BPP","KPG","PLU"},Database!$AU$4:$AU$1048576,"=2",Database!$AG$4:$AG$1048576,"Rumah sakit")),IF($I$5="Subdis",SUM(SUMIFS(Database!$AU$4:$AU$1048576,Database!$AC$4:$AC$1048576,$I$3,Database!$AE$4:$AE$1048576,{"SB1","SB2","BMS","MKS","DPS","KDR","MLG","SMD","PTK","JBR","MNO","JPU","MTR","BPP","KPG","PLU"},Database!$AU$4:$AU$1048576,"=2",Database!$AG$4:$AG$1048576,"Subdis")),0)))))))/$C$8</f>
        <v>0</v>
      </c>
      <c r="J22" s="23">
        <f>IF($I$4="Barat",IF($I$5="All",SUM(SUMIFS(Database!$AU$4:$AU$1048576,Database!$AC$4:$AC$1048576,$I$3,Database!$AE$4:$AE$1048576,{"JK2","MDN","TGR","PKB","PLB","BDL","PMS","PDG","BTM","BAC","JBI","PKP","BKL","LSE","PJT"},Database!$AU$4:$AU$1048576,"=3")),IF($I$5="Apotek",SUM(SUMIFS(Database!$AU$4:$AU$1048576,Database!$AC$4:$AC$1048576,$I$3,Database!$AE$4:$AE$1048576,{"JK2","MDN","TGR","PKB","PLB","BDL","PMS","PDG","BTM","BAC","JBI","PKP","BKL","LSE","PJT"},Database!$AU$4:$AU$1048576,"=3",Database!$AG$4:$AG$1048576,"Apotek")),IF($I$5="Rumah Sakit",SUM(SUMIFS(Database!$AU$4:$AU$1048576,Database!$AC$4:$AC$1048576,$I$3,Database!$AE$4:$AE$1048576,{"JK2","MDN","TGR","PKB","PLB","BDL","PMS","PDG","BTM","BAC","JBI","PKP","BKL","LSE","PJT"},Database!$AU$4:$AU$1048576,"=3",Database!$AG$4:$AG$1048576,"Rumah sakit")),IF($I$5="Subdis",SUM(SUMIFS(Database!$AU$4:$AU$1048576,Database!$AC$4:$AC$1048576,$I$3,Database!$AE$4:$AE$1048576,{"JK2","MDN","TGR","PKB","PLB","BDL","PMS","PDG","BTM","BAC","JBI","PKP","BKL","LSE","PJT"},Database!$AU$4:$AU$1048576,"=3",Database!$AG$4:$AG$1048576,"Subdis")),0)))),IF($I$4="Tengah",IF($I$5="All",SUM(SUMIFS(Database!$AU$4:$AU$1048576,Database!$AC$4:$AC$1048576,$I$3,Database!$AE$4:$AE$1048576,{"JK1","JK3","BDG","SMG","BGR","YOG","SLO","CRB","PWK","BKS","KDS","TGL","TSK","SKI","BD2"},Database!$AU$4:$AU$1048576,"=3")),IF($I$5="Apotek",SUM(SUMIFS(Database!$AU$4:$AU$1048576,Database!$AC$4:$AC$1048576,$I$3,Database!$AE$4:$AE$1048576,{"JK1","JK3","BDG","SMG","BGR","YOG","SLO","CRB","PWK","BKS","KDS","TGL","TSK","SKI","BD2"},Database!$AU$4:$AU$1048576,"=3",Database!$AG$4:$AG$1048576,"Apotek")),IF($I$5="Rumah Sakit",SUM(SUMIFS(Database!$AU$4:$AU$1048576,Database!$AC$4:$AC$1048576,$I$3,Database!$AE$4:$AE$1048576,{"JK1","JK3","BDG","SMG","BGR","YOG","SLO","CRB","PWK","BKS","KDS","TGL","TSK","SKI","BD2"},Database!$AU$4:$AU$1048576,"=3",Database!$AG$4:$AG$1048576,"Rumah sakit")),IF($I$5="Subdis",SUM(SUMIFS(Database!$AU$4:$AU$1048576,Database!$AC$4:$AC$1048576,$I$3,Database!$AE$4:$AE$1048576,{"JK1","JK3","BDG","SMG","BGR","YOG","SLO","CRB","PWK","BKS","KDS","TGL","TSK","SKI","BD2"},Database!$AU$4:$AU$1048576,"=3",Database!$AG$4:$AG$1048576,"Subdis")),0)))),IF($I$4="Timur",IF($I$5="All",SUM(SUMIFS(Database!$AU$4:$AU$1048576,Database!$AC$4:$AC$1048576,$I$3,Database!$AE$4:$AE$1048576,{"SB1","SB2","BMS","MKS","DPS","KDR","MLG","SMD","PTK","JBR","MNO","JPU","MTR","BPP","KPG","PLU"},Database!$AU$4:$AU$1048576,"=3")),IF($I$5="Apotek",SUM(SUMIFS(Database!$AU$4:$AU$1048576,Database!$AC$4:$AC$1048576,$I$3,Database!$AE$4:$AE$1048576,{"SB1","SB2","BMS","MKS","DPS","KDR","MLG","SMD","PTK","JBR","MNO","JPU","MTR","BPP","KPG","PLU"},Database!$AU$4:$AU$1048576,"=3",Database!$AG$4:$AG$1048576,"Apotek")),IF($I$5="Rumah Sakit",SUM(SUMIFS(Database!$AU$4:$AU$1048576,Database!$AC$4:$AC$1048576,$I$3,Database!$AE$4:$AE$1048576,{"SB1","SB2","BMS","MKS","DPS","KDR","MLG","SMD","PTK","JBR","MNO","JPU","MTR","BPP","KPG","PLU"},Database!$AU$4:$AU$1048576,"=3",Database!$AG$4:$AG$1048576,"Rumah sakit")),IF($I$5="Subdis",SUM(SUMIFS(Database!$AU$4:$AU$1048576,Database!$AC$4:$AC$1048576,$I$3,Database!$AE$4:$AE$1048576,{"SB1","SB2","BMS","MKS","DPS","KDR","MLG","SMD","PTK","JBR","MNO","JPU","MTR","BPP","KPG","PLU"},Database!$AU$4:$AU$1048576,"=3",Database!$AG$4:$AG$1048576,"Subdis")),0)))))))/$D$8</f>
        <v>0</v>
      </c>
      <c r="K22" s="23">
        <f>IF($I$4="Barat",IF($I$5="All",SUM(SUMIFS(Database!$AU$4:$AU$1048576,Database!$AC$4:$AC$1048576,$I$3,Database!$AE$4:$AE$1048576,{"JK2","MDN","TGR","PKB","PLB","BDL","PMS","PDG","BTM","BAC","JBI","PKP","BKL","LSE","PJT"},Database!$AU$4:$AU$1048576,"=4")),IF($I$5="Apotek",SUM(SUMIFS(Database!$AU$4:$AU$1048576,Database!$AC$4:$AC$1048576,$I$3,Database!$AE$4:$AE$1048576,{"JK2","MDN","TGR","PKB","PLB","BDL","PMS","PDG","BTM","BAC","JBI","PKP","BKL","LSE","PJT"},Database!$AU$4:$AU$1048576,"=4",Database!$AG$4:$AG$1048576,"Apotek")),IF($I$5="Rumah Sakit",SUM(SUMIFS(Database!$AU$4:$AU$1048576,Database!$AC$4:$AC$1048576,$I$3,Database!$AE$4:$AE$1048576,{"JK2","MDN","TGR","PKB","PLB","BDL","PMS","PDG","BTM","BAC","JBI","PKP","BKL","LSE","PJT"},Database!$AU$4:$AU$1048576,"=4",Database!$AG$4:$AG$1048576,"Rumah sakit")),IF($I$5="Subdis",SUM(SUMIFS(Database!$AU$4:$AU$1048576,Database!$AC$4:$AC$1048576,$I$3,Database!$AE$4:$AE$1048576,{"JK2","MDN","TGR","PKB","PLB","BDL","PMS","PDG","BTM","BAC","JBI","PKP","BKL","LSE","PJT"},Database!$AU$4:$AU$1048576,"=4",Database!$AG$4:$AG$1048576,"Subdis")),0)))),IF($I$4="Tengah",IF($I$5="All",SUM(SUMIFS(Database!$AU$4:$AU$1048576,Database!$AC$4:$AC$1048576,$I$3,Database!$AE$4:$AE$1048576,{"JK1","JK3","BDG","SMG","BGR","YOG","SLO","CRB","PWK","BKS","KDS","TGL","TSK","SKI","BD2"},Database!$AU$4:$AU$1048576,"=4")),IF($I$5="Apotek",SUM(SUMIFS(Database!$AU$4:$AU$1048576,Database!$AC$4:$AC$1048576,$I$3,Database!$AE$4:$AE$1048576,{"JK1","JK3","BDG","SMG","BGR","YOG","SLO","CRB","PWK","BKS","KDS","TGL","TSK","SKI","BD2"},Database!$AU$4:$AU$1048576,"=4",Database!$AG$4:$AG$1048576,"Apotek")),IF($I$5="Rumah Sakit",SUM(SUMIFS(Database!$AU$4:$AU$1048576,Database!$AC$4:$AC$1048576,$I$3,Database!$AE$4:$AE$1048576,{"JK1","JK3","BDG","SMG","BGR","YOG","SLO","CRB","PWK","BKS","KDS","TGL","TSK","SKI","BD2"},Database!$AU$4:$AU$1048576,"=4",Database!$AG$4:$AG$1048576,"Rumah sakit")),IF($I$5="Subdis",SUM(SUMIFS(Database!$AU$4:$AU$1048576,Database!$AC$4:$AC$1048576,$I$3,Database!$AE$4:$AE$1048576,{"JK1","JK3","BDG","SMG","BGR","YOG","SLO","CRB","PWK","BKS","KDS","TGL","TSK","SKI","BD2"},Database!$AU$4:$AU$1048576,"=4",Database!$AG$4:$AG$1048576,"Subdis")),0)))),IF($I$4="Timur",IF($I$5="All",SUM(SUMIFS(Database!$AU$4:$AU$1048576,Database!$AC$4:$AC$1048576,$I$3,Database!$AE$4:$AE$1048576,{"SB1","SB2","BMS","MKS","DPS","KDR","MLG","SMD","PTK","JBR","MNO","JPU","MTR","BPP","KPG","PLU"},Database!$AU$4:$AU$1048576,"=4")),IF($I$5="Apotek",SUM(SUMIFS(Database!$AU$4:$AU$1048576,Database!$AC$4:$AC$1048576,$I$3,Database!$AE$4:$AE$1048576,{"SB1","SB2","BMS","MKS","DPS","KDR","MLG","SMD","PTK","JBR","MNO","JPU","MTR","BPP","KPG","PLU"},Database!$AU$4:$AU$1048576,"=4",Database!$AG$4:$AG$1048576,"Apotek")),IF($I$5="Rumah Sakit",SUM(SUMIFS(Database!$AU$4:$AU$1048576,Database!$AC$4:$AC$1048576,$I$3,Database!$AE$4:$AE$1048576,{"SB1","SB2","BMS","MKS","DPS","KDR","MLG","SMD","PTK","JBR","MNO","JPU","MTR","BPP","KPG","PLU"},Database!$AU$4:$AU$1048576,"=4",Database!$AG$4:$AG$1048576,"Rumah sakit")),IF($I$5="Subdis",SUM(SUMIFS(Database!$AU$4:$AU$1048576,Database!$AC$4:$AC$1048576,$I$3,Database!$AE$4:$AE$1048576,{"SB1","SB2","BMS","MKS","DPS","KDR","MLG","SMD","PTK","JBR","MNO","JPU","MTR","BPP","KPG","PLU"},Database!$AU$4:$AU$1048576,"=4",Database!$AG$4:$AG$1048576,"Subdis")),0)))))))/$E$8</f>
        <v>0</v>
      </c>
      <c r="L22" s="9">
        <f t="shared" si="1"/>
        <v>0</v>
      </c>
      <c r="M22" s="10" t="e">
        <f>L22/(K22+J22+I22+H22)</f>
        <v>#DIV/0!</v>
      </c>
      <c r="N22" s="10" t="e">
        <f t="shared" si="3"/>
        <v>#DIV/0!</v>
      </c>
      <c r="O22" s="32" t="e">
        <f t="shared" si="4"/>
        <v>#DIV/0!</v>
      </c>
      <c r="P22" s="11" t="s">
        <v>6</v>
      </c>
      <c r="Q22" s="32" t="e">
        <f t="shared" si="15"/>
        <v>#DIV/0!</v>
      </c>
      <c r="R22" s="81" t="e">
        <f t="shared" si="6"/>
        <v>#DIV/0!</v>
      </c>
      <c r="S22" s="81" t="e">
        <f t="shared" si="7"/>
        <v>#DIV/0!</v>
      </c>
      <c r="T22" s="81" t="e">
        <f t="shared" si="16"/>
        <v>#DIV/0!</v>
      </c>
      <c r="U22" s="81" t="e">
        <f t="shared" si="17"/>
        <v>#DIV/0!</v>
      </c>
      <c r="V22" s="254"/>
    </row>
    <row r="23" spans="1:22" ht="18" x14ac:dyDescent="0.35">
      <c r="A23" s="9" t="s">
        <v>28</v>
      </c>
      <c r="B23" s="56">
        <f>IF($I$4="Barat",IF($I$5="All",SUM(SUMIFS(Database!$U$4:$U$1048576,Database!$B$4:$B$1048576,$I$3,Database!$D$4:$D$1048576,{"JK2","MDN","TGR","PKB","PLB","BDL","PMS","PDG","BTM","BAC","JBI","PKP","BKL","LSE","PJT"},Database!$U$4:$U$1048576,"=1")),IF($I$5="Apotek",SUM(SUMIFS(Database!$U$4:$U$1048576,Database!$B$4:$B$1048576,$I$3,Database!$D$4:$D$1048576,{"JK2","MDN","TGR","PKB","PLB","BDL","PMS","PDG","BTM","BAC","JBI","PKP","BKL","LSE","PJT"},Database!$U$4:$U$1048576,"=1",Database!$F$4:$F$1048576,"Apotek")),IF($I$5="Rumah Sakit",SUM(SUMIFS(Database!$U$4:$U$1048576,Database!$B$4:$B$1048576,$I$3,Database!$D$4:$D$1048576,{"JK2","MDN","TGR","PKB","PLB","BDL","PMS","PDG","BTM","BAC","JBI","PKP","BKL","LSE","PJT"},Database!$U$4:$U$1048576,"=1",Database!$F$4:$F$1048576,"Rumah sakit")),IF($I$5="Subdis",SUM(SUMIFS(Database!$U$4:$U$1048576,Database!$B$4:$B$1048576,$I$3,Database!$D$4:$D$1048576,{"JK2","MDN","TGR","PKB","PLB","BDL","PMS","PDG","BTM","BAC","JBI","PKP","BKL","LSE","PJT"},Database!$U$4:$U$1048576,"=1",Database!$F$4:$F$1048576,"Subdis")),0)))),IF($I$4="Tengah",IF($I$5="All",SUM(SUMIFS(Database!$U$4:$U$1048576,Database!$B$4:$B$1048576,$I$3,Database!$D$4:$D$1048576,{"JK1","JK3","BDG","SMG","BGR","YOG","SLO","CRB","PWK","BKS","KDS","TGL","TSK","SKI","BD2"},Database!$U$4:$U$1048576,"=1")),IF($I$5="Apotek",SUM(SUMIFS(Database!$U$4:$U$1048576,Database!$B$4:$B$1048576,$I$3,Database!$D$4:$D$1048576,{"JK1","JK3","BDG","SMG","BGR","YOG","SLO","CRB","PWK","BKS","KDS","TGL","TSK","SKI","BD2"},Database!$U$4:$U$1048576,"=1",Database!$F$4:$F$1048576,"Apotek")),IF($I$5="Rumah Sakit",SUM(SUMIFS(Database!$U$4:$U$1048576,Database!$B$4:$B$1048576,$I$3,Database!$D$4:$D$1048576,{"JK1","JK3","BDG","SMG","BGR","YOG","SLO","CRB","PWK","BKS","KDS","TGL","TSK","SKI","BD2"},Database!$U$4:$U$1048576,"=1",Database!$F$4:$F$1048576,"Rumah sakit")),IF($I$5="Subdis",SUM(SUMIFS(Database!$U$4:$U$1048576,Database!$B$4:$B$1048576,$I$3,Database!$D$4:$D$1048576,{"JK1","JK3","BDG","SMG","BGR","YOG","SLO","CRB","PWK","BKS","KDS","TGL","TSK","SKI","BD2"},Database!$U$4:$U$1048576,"=1",Database!$F$4:$F$1048576,"Subdis")),0)))),IF($I$4="Timur",IF($I$5="All",SUM(SUMIFS(Database!$U$4:$U$1048576,Database!$B$4:$B$1048576,$I$3,Database!$D$4:$D$1048576,{"SB1","SB2","BMS","MKS","DPS","KDR","MLG","SMD","PTK","JBR","MNO","JPU","MTR","BPP","KPG","PLU"},Database!$U$4:$U$1048576,"=1")),IF($I$5="Apotek",SUM(SUMIFS(Database!$U$4:$U$1048576,Database!$B$4:$B$1048576,$I$3,Database!$D$4:$D$1048576,{"SB1","SB2","BMS","MKS","DPS","KDR","MLG","SMD","PTK","JBR","MNO","JPU","MTR","BPP","KPG","PLU"},Database!$U$4:$U$1048576,"=1",Database!$F$4:$F$1048576,"Apotek")),IF($I$5="Rumah Sakit",SUM(SUMIFS(Database!$U$4:$U$1048576,Database!$B$4:$B$1048576,$I$3,Database!$D$4:$D$1048576,{"SB1","SB2","BMS","MKS","DPS","KDR","MLG","SMD","PTK","JBR","MNO","JPU","MTR","BPP","KPG","PLU"},Database!$U$4:$U$1048576,"=1",Database!$F$4:$F$1048576,"Rumah sakit")),IF($I$5="Subdis",SUM(SUMIFS(Database!$U$4:$U$1048576,Database!$B$4:$B$1048576,$I$3,Database!$D$4:$D$1048576,{"SB1","SB2","BMS","MKS","DPS","KDR","MLG","SMD","PTK","JBR","MNO","JPU","MTR","BPP","KPG","PLU"},Database!$U$4:$U$1048576,"=1",Database!$F$4:$F$1048576,"Subdis")),0)))))))/$B$8</f>
        <v>0</v>
      </c>
      <c r="C23" s="56">
        <f>IF($I$4="Barat",IF($I$5="All",SUM(SUMIFS(Database!$U$4:$U$1048576,Database!$B$4:$B$1048576,$I$3,Database!$D$4:$D$1048576,{"JK2","MDN","TGR","PKB","PLB","BDL","PMS","PDG","BTM","BAC","JBI","PKP","BKL","LSE","PJT"},Database!$U$4:$U$1048576,"=2")),IF($I$5="Apotek",SUM(SUMIFS(Database!$U$4:$U$1048576,Database!$B$4:$B$1048576,$I$3,Database!$D$4:$D$1048576,{"JK2","MDN","TGR","PKB","PLB","BDL","PMS","PDG","BTM","BAC","JBI","PKP","BKL","LSE","PJT"},Database!$U$4:$U$1048576,"=2",Database!$F$4:$F$1048576,"Apotek")),IF($I$5="Rumah Sakit",SUM(SUMIFS(Database!$U$4:$U$1048576,Database!$B$4:$B$1048576,$I$3,Database!$D$4:$D$1048576,{"JK2","MDN","TGR","PKB","PLB","BDL","PMS","PDG","BTM","BAC","JBI","PKP","BKL","LSE","PJT"},Database!$U$4:$U$1048576,"=2",Database!$F$4:$F$1048576,"Rumah sakit")),IF($I$5="Subdis",SUM(SUMIFS(Database!$U$4:$U$1048576,Database!$B$4:$B$1048576,$I$3,Database!$D$4:$D$1048576,{"JK2","MDN","TGR","PKB","PLB","BDL","PMS","PDG","BTM","BAC","JBI","PKP","BKL","LSE","PJT"},Database!$U$4:$U$1048576,"=2",Database!$F$4:$F$1048576,"Subdis")),0)))),IF($I$4="Tengah",IF($I$5="All",SUM(SUMIFS(Database!$U$4:$U$1048576,Database!$B$4:$B$1048576,$I$3,Database!$D$4:$D$1048576,{"JK1","JK3","BDG","SMG","BGR","YOG","SLO","CRB","PWK","BKS","KDS","TGL","TSK","SKI","BD2"},Database!$U$4:$U$1048576,"=2")),IF($I$5="Apotek",SUM(SUMIFS(Database!$U$4:$U$1048576,Database!$B$4:$B$1048576,$I$3,Database!$D$4:$D$1048576,{"JK1","JK3","BDG","SMG","BGR","YOG","SLO","CRB","PWK","BKS","KDS","TGL","TSK","SKI","BD2"},Database!$U$4:$U$1048576,"=2",Database!$F$4:$F$1048576,"Apotek")),IF($I$5="Rumah Sakit",SUM(SUMIFS(Database!$U$4:$U$1048576,Database!$B$4:$B$1048576,$I$3,Database!$D$4:$D$1048576,{"JK1","JK3","BDG","SMG","BGR","YOG","SLO","CRB","PWK","BKS","KDS","TGL","TSK","SKI","BD2"},Database!$U$4:$U$1048576,"=2",Database!$F$4:$F$1048576,"Rumah sakit")),IF($I$5="Subdis",SUM(SUMIFS(Database!$U$4:$U$1048576,Database!$B$4:$B$1048576,$I$3,Database!$D$4:$D$1048576,{"JK1","JK3","BDG","SMG","BGR","YOG","SLO","CRB","PWK","BKS","KDS","TGL","TSK","SKI","BD2"},Database!$U$4:$U$1048576,"=2",Database!$F$4:$F$1048576,"Subdis")),0)))),IF($I$4="Timur",IF($I$5="All",SUM(SUMIFS(Database!$U$4:$U$1048576,Database!$B$4:$B$1048576,$I$3,Database!$D$4:$D$1048576,{"SB1","SB2","BMS","MKS","DPS","KDR","MLG","SMD","PTK","JBR","MNO","JPU","MTR","BPP","KPG","PLU"},Database!$U$4:$U$1048576,"=2")),IF($I$5="Apotek",SUM(SUMIFS(Database!$U$4:$U$1048576,Database!$B$4:$B$1048576,$I$3,Database!$D$4:$D$1048576,{"SB1","SB2","BMS","MKS","DPS","KDR","MLG","SMD","PTK","JBR","MNO","JPU","MTR","BPP","KPG","PLU"},Database!$U$4:$U$1048576,"=2",Database!$F$4:$F$1048576,"Apotek")),IF($I$5="Rumah Sakit",SUM(SUMIFS(Database!$U$4:$U$1048576,Database!$B$4:$B$1048576,$I$3,Database!$D$4:$D$1048576,{"SB1","SB2","BMS","MKS","DPS","KDR","MLG","SMD","PTK","JBR","MNO","JPU","MTR","BPP","KPG","PLU"},Database!$U$4:$U$1048576,"=2",Database!$F$4:$F$1048576,"Rumah sakit")),IF($I$5="Subdis",SUM(SUMIFS(Database!$U$4:$U$1048576,Database!$B$4:$B$1048576,$I$3,Database!$D$4:$D$1048576,{"SB1","SB2","BMS","MKS","DPS","KDR","MLG","SMD","PTK","JBR","MNO","JPU","MTR","BPP","KPG","PLU"},Database!$U$4:$U$1048576,"=2",Database!$F$4:$F$1048576,"Subdis")),0)))))))/$C$8</f>
        <v>0</v>
      </c>
      <c r="D23" s="23">
        <f>IF($I$4="Barat",IF($I$5="All",SUM(SUMIFS(Database!$U$4:$U$1048576,Database!$B$4:$B$1048576,$I$3,Database!$D$4:$D$1048576,{"JK2","MDN","TGR","PKB","PLB","BDL","PMS","PDG","BTM","BAC","JBI","PKP","BKL","LSE","PJT"},Database!$U$4:$U$1048576,"=3")),IF($I$5="Apotek",SUM(SUMIFS(Database!$U$4:$U$1048576,Database!$B$4:$B$1048576,$I$3,Database!$D$4:$D$1048576,{"JK2","MDN","TGR","PKB","PLB","BDL","PMS","PDG","BTM","BAC","JBI","PKP","BKL","LSE","PJT"},Database!$U$4:$U$1048576,"=3",Database!$F$4:$F$1048576,"Apotek")),IF($I$5="Rumah Sakit",SUM(SUMIFS(Database!$U$4:$U$1048576,Database!$B$4:$B$1048576,$I$3,Database!$D$4:$D$1048576,{"JK2","MDN","TGR","PKB","PLB","BDL","PMS","PDG","BTM","BAC","JBI","PKP","BKL","LSE","PJT"},Database!$U$4:$U$1048576,"=3",Database!$F$4:$F$1048576,"Rumah sakit")),IF($I$5="Subdis",SUM(SUMIFS(Database!$U$4:$U$1048576,Database!$B$4:$B$1048576,$I$3,Database!$D$4:$D$1048576,{"JK2","MDN","TGR","PKB","PLB","BDL","PMS","PDG","BTM","BAC","JBI","PKP","BKL","LSE","PJT"},Database!$U$4:$U$1048576,"=3",Database!$F$4:$F$1048576,"Subdis")),0)))),IF($I$4="Tengah",IF($I$5="All",SUM(SUMIFS(Database!$U$4:$U$1048576,Database!$B$4:$B$1048576,$I$3,Database!$D$4:$D$1048576,{"JK1","JK3","BDG","SMG","BGR","YOG","SLO","CRB","PWK","BKS","KDS","TGL","TSK","SKI","BD2"},Database!$U$4:$U$1048576,"=3")),IF($I$5="Apotek",SUM(SUMIFS(Database!$U$4:$U$1048576,Database!$B$4:$B$1048576,$I$3,Database!$D$4:$D$1048576,{"JK1","JK3","BDG","SMG","BGR","YOG","SLO","CRB","PWK","BKS","KDS","TGL","TSK","SKI","BD2"},Database!$U$4:$U$1048576,"=3",Database!$F$4:$F$1048576,"Apotek")),IF($I$5="Rumah Sakit",SUM(SUMIFS(Database!$U$4:$U$1048576,Database!$B$4:$B$1048576,$I$3,Database!$D$4:$D$1048576,{"JK1","JK3","BDG","SMG","BGR","YOG","SLO","CRB","PWK","BKS","KDS","TGL","TSK","SKI","BD2"},Database!$U$4:$U$1048576,"=3",Database!$F$4:$F$1048576,"Rumah sakit")),IF($I$5="Subdis",SUM(SUMIFS(Database!$U$4:$U$1048576,Database!$B$4:$B$1048576,$I$3,Database!$D$4:$D$1048576,{"JK1","JK3","BDG","SMG","BGR","YOG","SLO","CRB","PWK","BKS","KDS","TGL","TSK","SKI","BD2"},Database!$U$4:$U$1048576,"=3",Database!$F$4:$F$1048576,"Subdis")),0)))),IF($I$4="Timur",IF($I$5="All",SUM(SUMIFS(Database!$U$4:$U$1048576,Database!$B$4:$B$1048576,$I$3,Database!$D$4:$D$1048576,{"SB1","SB2","BMS","MKS","DPS","KDR","MLG","SMD","PTK","JBR","MNO","JPU","MTR","BPP","KPG","PLU"},Database!$U$4:$U$1048576,"=3")),IF($I$5="Apotek",SUM(SUMIFS(Database!$U$4:$U$1048576,Database!$B$4:$B$1048576,$I$3,Database!$D$4:$D$1048576,{"SB1","SB2","BMS","MKS","DPS","KDR","MLG","SMD","PTK","JBR","MNO","JPU","MTR","BPP","KPG","PLU"},Database!$U$4:$U$1048576,"=3",Database!$F$4:$F$1048576,"Apotek")),IF($I$5="Rumah Sakit",SUM(SUMIFS(Database!$U$4:$U$1048576,Database!$B$4:$B$1048576,$I$3,Database!$D$4:$D$1048576,{"SB1","SB2","BMS","MKS","DPS","KDR","MLG","SMD","PTK","JBR","MNO","JPU","MTR","BPP","KPG","PLU"},Database!$U$4:$U$1048576,"=3",Database!$F$4:$F$1048576,"Rumah sakit")),IF($I$5="Subdis",SUM(SUMIFS(Database!$U$4:$U$1048576,Database!$B$4:$B$1048576,$I$3,Database!$D$4:$D$1048576,{"SB1","SB2","BMS","MKS","DPS","KDR","MLG","SMD","PTK","JBR","MNO","JPU","MTR","BPP","KPG","PLU"},Database!$U$4:$U$1048576,"=3",Database!$F$4:$F$1048576,"Subdis")),0)))))))/$D$8</f>
        <v>0</v>
      </c>
      <c r="E23" s="56">
        <f>IF($I$4="Barat",IF($I$5="All",SUM(SUMIFS(Database!$U$4:$U$1048576,Database!$B$4:$B$1048576,$I$3,Database!$D$4:$D$1048576,{"JK2","MDN","TGR","PKB","PLB","BDL","PMS","PDG","BTM","BAC","JBI","PKP","BKL","LSE","PJT"},Database!$U$4:$U$1048576,"=4")),IF($I$5="Apotek",SUM(SUMIFS(Database!$U$4:$U$1048576,Database!$B$4:$B$1048576,$I$3,Database!$D$4:$D$1048576,{"JK2","MDN","TGR","PKB","PLB","BDL","PMS","PDG","BTM","BAC","JBI","PKP","BKL","LSE","PJT"},Database!$U$4:$U$1048576,"=4",Database!$F$4:$F$1048576,"Apotek")),IF($I$5="Rumah Sakit",SUM(SUMIFS(Database!$U$4:$U$1048576,Database!$B$4:$B$1048576,$I$3,Database!$D$4:$D$1048576,{"JK2","MDN","TGR","PKB","PLB","BDL","PMS","PDG","BTM","BAC","JBI","PKP","BKL","LSE","PJT"},Database!$U$4:$U$1048576,"=4",Database!$F$4:$F$1048576,"Rumah sakit")),IF($I$5="Subdis",SUM(SUMIFS(Database!$U$4:$U$1048576,Database!$B$4:$B$1048576,$I$3,Database!$D$4:$D$1048576,{"JK2","MDN","TGR","PKB","PLB","BDL","PMS","PDG","BTM","BAC","JBI","PKP","BKL","LSE","PJT"},Database!$U$4:$U$1048576,"=4",Database!$F$4:$F$1048576,"Subdis")),0)))),IF($I$4="Tengah",IF($I$5="All",SUM(SUMIFS(Database!$U$4:$U$1048576,Database!$B$4:$B$1048576,$I$3,Database!$D$4:$D$1048576,{"JK1","JK3","BDG","SMG","BGR","YOG","SLO","CRB","PWK","BKS","KDS","TGL","TSK","SKI","BD2"},Database!$U$4:$U$1048576,"=4")),IF($I$5="Apotek",SUM(SUMIFS(Database!$U$4:$U$1048576,Database!$B$4:$B$1048576,$I$3,Database!$D$4:$D$1048576,{"JK1","JK3","BDG","SMG","BGR","YOG","SLO","CRB","PWK","BKS","KDS","TGL","TSK","SKI","BD2"},Database!$U$4:$U$1048576,"=4",Database!$F$4:$F$1048576,"Apotek")),IF($I$5="Rumah Sakit",SUM(SUMIFS(Database!$U$4:$U$1048576,Database!$B$4:$B$1048576,$I$3,Database!$D$4:$D$1048576,{"JK1","JK3","BDG","SMG","BGR","YOG","SLO","CRB","PWK","BKS","KDS","TGL","TSK","SKI","BD2"},Database!$U$4:$U$1048576,"=4",Database!$F$4:$F$1048576,"Rumah sakit")),IF($I$5="Subdis",SUM(SUMIFS(Database!$U$4:$U$1048576,Database!$B$4:$B$1048576,$I$3,Database!$D$4:$D$1048576,{"JK1","JK3","BDG","SMG","BGR","YOG","SLO","CRB","PWK","BKS","KDS","TGL","TSK","SKI","BD2"},Database!$U$4:$U$1048576,"=4",Database!$F$4:$F$1048576,"Subdis")),0)))),IF($I$4="Timur",IF($I$5="All",SUM(SUMIFS(Database!$U$4:$U$1048576,Database!$B$4:$B$1048576,$I$3,Database!$D$4:$D$1048576,{"SB1","SB2","BMS","MKS","DPS","KDR","MLG","SMD","PTK","JBR","MNO","JPU","MTR","BPP","KPG","PLU"},Database!$U$4:$U$1048576,"=4")),IF($I$5="Apotek",SUM(SUMIFS(Database!$U$4:$U$1048576,Database!$B$4:$B$1048576,$I$3,Database!$D$4:$D$1048576,{"SB1","SB2","BMS","MKS","DPS","KDR","MLG","SMD","PTK","JBR","MNO","JPU","MTR","BPP","KPG","PLU"},Database!$U$4:$U$1048576,"=4",Database!$F$4:$F$1048576,"Apotek")),IF($I$5="Rumah Sakit",SUM(SUMIFS(Database!$U$4:$U$1048576,Database!$B$4:$B$1048576,$I$3,Database!$D$4:$D$1048576,{"SB1","SB2","BMS","MKS","DPS","KDR","MLG","SMD","PTK","JBR","MNO","JPU","MTR","BPP","KPG","PLU"},Database!$U$4:$U$1048576,"=4",Database!$F$4:$F$1048576,"Rumah sakit")),IF($I$5="Subdis",SUM(SUMIFS(Database!$U$4:$U$1048576,Database!$B$4:$B$1048576,$I$3,Database!$D$4:$D$1048576,{"SB1","SB2","BMS","MKS","DPS","KDR","MLG","SMD","PTK","JBR","MNO","JPU","MTR","BPP","KPG","PLU"},Database!$U$4:$U$1048576,"=4",Database!$F$4:$F$1048576,"Subdis")),0)))))))/$E$8</f>
        <v>0</v>
      </c>
      <c r="F23" s="9">
        <f t="shared" si="0"/>
        <v>0</v>
      </c>
      <c r="G23" s="10" t="e">
        <f t="shared" si="10"/>
        <v>#DIV/0!</v>
      </c>
      <c r="H23" s="23">
        <f>IF($I$4="Barat",IF($I$5="All",SUM(SUMIFS(Database!$AV$4:$AV$1048576,Database!$AC$4:$AC$1048576,$I$3,Database!$AE$4:$AE$1048576,{"JK2","MDN","TGR","PKB","PLB","BDL","PMS","PDG","BTM","BAC","JBI","PKP","BKL","LSE","PJT"},Database!$AV$4:$AV$1048576,"=1")),IF($I$5="Apotek",SUM(SUMIFS(Database!$AV$4:$AV$1048576,Database!$AC$4:$AC$1048576,$I$3,Database!$AE$4:$AE$1048576,{"JK2","MDN","TGR","PKB","PLB","BDL","PMS","PDG","BTM","BAC","JBI","PKP","BKL","LSE","PJT"},Database!$AV$4:$AV$1048576,"=1",Database!$AG$4:$AG$1048576,"Apotek")),IF($I$5="Rumah Sakit",SUM(SUMIFS(Database!$AV$4:$AV$1048576,Database!$AC$4:$AC$1048576,$I$3,Database!$AE$4:$AE$1048576,{"JK2","MDN","TGR","PKB","PLB","BDL","PMS","PDG","BTM","BAC","JBI","PKP","BKL","LSE","PJT"},Database!$AV$4:$AV$1048576,"=1",Database!$AG$4:$AG$1048576,"Rumah sakit")),IF($I$5="Subdis",SUM(SUMIFS(Database!$AV$4:$AV$1048576,Database!$AC$4:$AC$1048576,$I$3,Database!$AE$4:$AE$1048576,{"JK2","MDN","TGR","PKB","PLB","BDL","PMS","PDG","BTM","BAC","JBI","PKP","BKL","LSE","PJT"},Database!$AV$4:$AV$1048576,"=1",Database!$AG$4:$AG$1048576,"Subdis")),0)))),IF($I$4="Tengah",IF($I$5="All",SUM(SUMIFS(Database!$AV$4:$AV$1048576,Database!$AC$4:$AC$1048576,$I$3,Database!$AE$4:$AE$1048576,{"JK1","JK3","BDG","SMG","BGR","YOG","SLO","CRB","PWK","BKS","KDS","TGL","TSK","SKI","BD2"},Database!$AV$4:$AV$1048576,"=1")),IF($I$5="Apotek",SUM(SUMIFS(Database!$AV$4:$AV$1048576,Database!$AC$4:$AC$1048576,$I$3,Database!$AE$4:$AE$1048576,{"JK1","JK3","BDG","SMG","BGR","YOG","SLO","CRB","PWK","BKS","KDS","TGL","TSK","SKI","BD2"},Database!$AV$4:$AV$1048576,"=1",Database!$AG$4:$AG$1048576,"Apotek")),IF($I$5="Rumah Sakit",SUM(SUMIFS(Database!$AV$4:$AV$1048576,Database!$AC$4:$AC$1048576,$I$3,Database!$AE$4:$AE$1048576,{"JK1","JK3","BDG","SMG","BGR","YOG","SLO","CRB","PWK","BKS","KDS","TGL","TSK","SKI","BD2"},Database!$AV$4:$AV$1048576,"=1",Database!$AG$4:$AG$1048576,"Rumah sakit")),IF($I$5="Subdis",SUM(SUMIFS(Database!$AV$4:$AV$1048576,Database!$AC$4:$AC$1048576,$I$3,Database!$AE$4:$AE$1048576,{"JK1","JK3","BDG","SMG","BGR","YOG","SLO","CRB","PWK","BKS","KDS","TGL","TSK","SKI","BD2"},Database!$AV$4:$AV$1048576,"=1",Database!$AG$4:$AG$1048576,"Subdis")),0)))),IF($I$4="Timur",IF($I$5="All",SUM(SUMIFS(Database!$AV$4:$AV$1048576,Database!$AC$4:$AC$1048576,$I$3,Database!$AE$4:$AE$1048576,{"SB1","SB2","BMS","MKS","DPS","KDR","MLG","SMD","PTK","JBR","MNO","JPU","MTR","BPP","KPG","PLU"},Database!$AV$4:$AV$1048576,"=1")),IF($I$5="Apotek",SUM(SUMIFS(Database!$AV$4:$AV$1048576,Database!$AC$4:$AC$1048576,$I$3,Database!$AE$4:$AE$1048576,{"SB1","SB2","BMS","MKS","DPS","KDR","MLG","SMD","PTK","JBR","MNO","JPU","MTR","BPP","KPG","PLU"},Database!$AV$4:$AV$1048576,"=1",Database!$AG$4:$AG$1048576,"Apotek")),IF($I$5="Rumah Sakit",SUM(SUMIFS(Database!$AV$4:$AV$1048576,Database!$AC$4:$AC$1048576,$I$3,Database!$AE$4:$AE$1048576,{"SB1","SB2","BMS","MKS","DPS","KDR","MLG","SMD","PTK","JBR","MNO","JPU","MTR","BPP","KPG","PLU"},Database!$AV$4:$AV$1048576,"=1",Database!$AG$4:$AG$1048576,"Rumah sakit")),IF($I$5="Subdis",SUM(SUMIFS(Database!$AV$4:$AV$1048576,Database!$AC$4:$AC$1048576,$I$3,Database!$AE$4:$AE$1048576,{"SB1","SB2","BMS","MKS","DPS","KDR","MLG","SMD","PTK","JBR","MNO","JPU","MTR","BPP","KPG","PLU"},Database!$AV$4:$AV$1048576,"=1",Database!$AG$4:$AG$1048576,"Subdis")),0)))))))/$B$8</f>
        <v>0</v>
      </c>
      <c r="I23" s="23">
        <f>IF($I$4="Barat",IF($I$5="All",SUM(SUMIFS(Database!$AV$4:$AV$1048576,Database!$AC$4:$AC$1048576,$I$3,Database!$AE$4:$AE$1048576,{"JK2","MDN","TGR","PKB","PLB","BDL","PMS","PDG","BTM","BAC","JBI","PKP","BKL","LSE","PJT"},Database!$AV$4:$AV$1048576,"=2")),IF($I$5="Apotek",SUM(SUMIFS(Database!$AV$4:$AV$1048576,Database!$AC$4:$AC$1048576,$I$3,Database!$AE$4:$AE$1048576,{"JK2","MDN","TGR","PKB","PLB","BDL","PMS","PDG","BTM","BAC","JBI","PKP","BKL","LSE","PJT"},Database!$AV$4:$AV$1048576,"=2",Database!$AG$4:$AG$1048576,"Apotek")),IF($I$5="Rumah Sakit",SUM(SUMIFS(Database!$AV$4:$AV$1048576,Database!$AC$4:$AC$1048576,$I$3,Database!$AE$4:$AE$1048576,{"JK2","MDN","TGR","PKB","PLB","BDL","PMS","PDG","BTM","BAC","JBI","PKP","BKL","LSE","PJT"},Database!$AV$4:$AV$1048576,"=2",Database!$AG$4:$AG$1048576,"Rumah sakit")),IF($I$5="Subdis",SUM(SUMIFS(Database!$AV$4:$AV$1048576,Database!$AC$4:$AC$1048576,$I$3,Database!$AE$4:$AE$1048576,{"JK2","MDN","TGR","PKB","PLB","BDL","PMS","PDG","BTM","BAC","JBI","PKP","BKL","LSE","PJT"},Database!$AV$4:$AV$1048576,"=2",Database!$AG$4:$AG$1048576,"Subdis")),0)))),IF($I$4="Tengah",IF($I$5="All",SUM(SUMIFS(Database!$AV$4:$AV$1048576,Database!$AC$4:$AC$1048576,$I$3,Database!$AE$4:$AE$1048576,{"JK1","JK3","BDG","SMG","BGR","YOG","SLO","CRB","PWK","BKS","KDS","TGL","TSK","SKI","BD2"},Database!$AV$4:$AV$1048576,"=2")),IF($I$5="Apotek",SUM(SUMIFS(Database!$AV$4:$AV$1048576,Database!$AC$4:$AC$1048576,$I$3,Database!$AE$4:$AE$1048576,{"JK1","JK3","BDG","SMG","BGR","YOG","SLO","CRB","PWK","BKS","KDS","TGL","TSK","SKI","BD2"},Database!$AV$4:$AV$1048576,"=2",Database!$AG$4:$AG$1048576,"Apotek")),IF($I$5="Rumah Sakit",SUM(SUMIFS(Database!$AV$4:$AV$1048576,Database!$AC$4:$AC$1048576,$I$3,Database!$AE$4:$AE$1048576,{"JK1","JK3","BDG","SMG","BGR","YOG","SLO","CRB","PWK","BKS","KDS","TGL","TSK","SKI","BD2"},Database!$AV$4:$AV$1048576,"=2",Database!$AG$4:$AG$1048576,"Rumah sakit")),IF($I$5="Subdis",SUM(SUMIFS(Database!$AV$4:$AV$1048576,Database!$AC$4:$AC$1048576,$I$3,Database!$AE$4:$AE$1048576,{"JK1","JK3","BDG","SMG","BGR","YOG","SLO","CRB","PWK","BKS","KDS","TGL","TSK","SKI","BD2"},Database!$AV$4:$AV$1048576,"=2",Database!$AG$4:$AG$1048576,"Subdis")),0)))),IF($I$4="Timur",IF($I$5="All",SUM(SUMIFS(Database!$AV$4:$AV$1048576,Database!$AC$4:$AC$1048576,$I$3,Database!$AE$4:$AE$1048576,{"SB1","SB2","BMS","MKS","DPS","KDR","MLG","SMD","PTK","JBR","MNO","JPU","MTR","BPP","KPG","PLU"},Database!$AV$4:$AV$1048576,"=2")),IF($I$5="Apotek",SUM(SUMIFS(Database!$AV$4:$AV$1048576,Database!$AC$4:$AC$1048576,$I$3,Database!$AE$4:$AE$1048576,{"SB1","SB2","BMS","MKS","DPS","KDR","MLG","SMD","PTK","JBR","MNO","JPU","MTR","BPP","KPG","PLU"},Database!$AV$4:$AV$1048576,"=2",Database!$AG$4:$AG$1048576,"Apotek")),IF($I$5="Rumah Sakit",SUM(SUMIFS(Database!$AV$4:$AV$1048576,Database!$AC$4:$AC$1048576,$I$3,Database!$AE$4:$AE$1048576,{"SB1","SB2","BMS","MKS","DPS","KDR","MLG","SMD","PTK","JBR","MNO","JPU","MTR","BPP","KPG","PLU"},Database!$AV$4:$AV$1048576,"=2",Database!$AG$4:$AG$1048576,"Rumah sakit")),IF($I$5="Subdis",SUM(SUMIFS(Database!$AV$4:$AV$1048576,Database!$AC$4:$AC$1048576,$I$3,Database!$AE$4:$AE$1048576,{"SB1","SB2","BMS","MKS","DPS","KDR","MLG","SMD","PTK","JBR","MNO","JPU","MTR","BPP","KPG","PLU"},Database!$AV$4:$AV$1048576,"=2",Database!$AG$4:$AG$1048576,"Subdis")),0)))))))/$C$8</f>
        <v>0</v>
      </c>
      <c r="J23" s="23">
        <f>IF($I$4="Barat",IF($I$5="All",SUM(SUMIFS(Database!$AV$4:$AV$1048576,Database!$AC$4:$AC$1048576,$I$3,Database!$AE$4:$AE$1048576,{"JK2","MDN","TGR","PKB","PLB","BDL","PMS","PDG","BTM","BAC","JBI","PKP","BKL","LSE","PJT"},Database!$AV$4:$AV$1048576,"=3")),IF($I$5="Apotek",SUM(SUMIFS(Database!$AV$4:$AV$1048576,Database!$AC$4:$AC$1048576,$I$3,Database!$AE$4:$AE$1048576,{"JK2","MDN","TGR","PKB","PLB","BDL","PMS","PDG","BTM","BAC","JBI","PKP","BKL","LSE","PJT"},Database!$AV$4:$AV$1048576,"=3",Database!$AG$4:$AG$1048576,"Apotek")),IF($I$5="Rumah Sakit",SUM(SUMIFS(Database!$AV$4:$AV$1048576,Database!$AC$4:$AC$1048576,$I$3,Database!$AE$4:$AE$1048576,{"JK2","MDN","TGR","PKB","PLB","BDL","PMS","PDG","BTM","BAC","JBI","PKP","BKL","LSE","PJT"},Database!$AV$4:$AV$1048576,"=3",Database!$AG$4:$AG$1048576,"Rumah sakit")),IF($I$5="Subdis",SUM(SUMIFS(Database!$AV$4:$AV$1048576,Database!$AC$4:$AC$1048576,$I$3,Database!$AE$4:$AE$1048576,{"JK2","MDN","TGR","PKB","PLB","BDL","PMS","PDG","BTM","BAC","JBI","PKP","BKL","LSE","PJT"},Database!$AV$4:$AV$1048576,"=3",Database!$AG$4:$AG$1048576,"Subdis")),0)))),IF($I$4="Tengah",IF($I$5="All",SUM(SUMIFS(Database!$AV$4:$AV$1048576,Database!$AC$4:$AC$1048576,$I$3,Database!$AE$4:$AE$1048576,{"JK1","JK3","BDG","SMG","BGR","YOG","SLO","CRB","PWK","BKS","KDS","TGL","TSK","SKI","BD2"},Database!$AV$4:$AV$1048576,"=3")),IF($I$5="Apotek",SUM(SUMIFS(Database!$AV$4:$AV$1048576,Database!$AC$4:$AC$1048576,$I$3,Database!$AE$4:$AE$1048576,{"JK1","JK3","BDG","SMG","BGR","YOG","SLO","CRB","PWK","BKS","KDS","TGL","TSK","SKI","BD2"},Database!$AV$4:$AV$1048576,"=3",Database!$AG$4:$AG$1048576,"Apotek")),IF($I$5="Rumah Sakit",SUM(SUMIFS(Database!$AV$4:$AV$1048576,Database!$AC$4:$AC$1048576,$I$3,Database!$AE$4:$AE$1048576,{"JK1","JK3","BDG","SMG","BGR","YOG","SLO","CRB","PWK","BKS","KDS","TGL","TSK","SKI","BD2"},Database!$AV$4:$AV$1048576,"=3",Database!$AG$4:$AG$1048576,"Rumah sakit")),IF($I$5="Subdis",SUM(SUMIFS(Database!$AV$4:$AV$1048576,Database!$AC$4:$AC$1048576,$I$3,Database!$AE$4:$AE$1048576,{"JK1","JK3","BDG","SMG","BGR","YOG","SLO","CRB","PWK","BKS","KDS","TGL","TSK","SKI","BD2"},Database!$AV$4:$AV$1048576,"=3",Database!$AG$4:$AG$1048576,"Subdis")),0)))),IF($I$4="Timur",IF($I$5="All",SUM(SUMIFS(Database!$AV$4:$AV$1048576,Database!$AC$4:$AC$1048576,$I$3,Database!$AE$4:$AE$1048576,{"SB1","SB2","BMS","MKS","DPS","KDR","MLG","SMD","PTK","JBR","MNO","JPU","MTR","BPP","KPG","PLU"},Database!$AV$4:$AV$1048576,"=3")),IF($I$5="Apotek",SUM(SUMIFS(Database!$AV$4:$AV$1048576,Database!$AC$4:$AC$1048576,$I$3,Database!$AE$4:$AE$1048576,{"SB1","SB2","BMS","MKS","DPS","KDR","MLG","SMD","PTK","JBR","MNO","JPU","MTR","BPP","KPG","PLU"},Database!$AV$4:$AV$1048576,"=3",Database!$AG$4:$AG$1048576,"Apotek")),IF($I$5="Rumah Sakit",SUM(SUMIFS(Database!$AV$4:$AV$1048576,Database!$AC$4:$AC$1048576,$I$3,Database!$AE$4:$AE$1048576,{"SB1","SB2","BMS","MKS","DPS","KDR","MLG","SMD","PTK","JBR","MNO","JPU","MTR","BPP","KPG","PLU"},Database!$AV$4:$AV$1048576,"=3",Database!$AG$4:$AG$1048576,"Rumah sakit")),IF($I$5="Subdis",SUM(SUMIFS(Database!$AV$4:$AV$1048576,Database!$AC$4:$AC$1048576,$I$3,Database!$AE$4:$AE$1048576,{"SB1","SB2","BMS","MKS","DPS","KDR","MLG","SMD","PTK","JBR","MNO","JPU","MTR","BPP","KPG","PLU"},Database!$AV$4:$AV$1048576,"=3",Database!$AG$4:$AG$1048576,"Subdis")),0)))))))/$D$8</f>
        <v>0</v>
      </c>
      <c r="K23" s="23">
        <f>IF($I$4="Barat",IF($I$5="All",SUM(SUMIFS(Database!$AV$4:$AV$1048576,Database!$AC$4:$AC$1048576,$I$3,Database!$AE$4:$AE$1048576,{"JK2","MDN","TGR","PKB","PLB","BDL","PMS","PDG","BTM","BAC","JBI","PKP","BKL","LSE","PJT"},Database!$AV$4:$AV$1048576,"=4")),IF($I$5="Apotek",SUM(SUMIFS(Database!$AV$4:$AV$1048576,Database!$AC$4:$AC$1048576,$I$3,Database!$AE$4:$AE$1048576,{"JK2","MDN","TGR","PKB","PLB","BDL","PMS","PDG","BTM","BAC","JBI","PKP","BKL","LSE","PJT"},Database!$AV$4:$AV$1048576,"=4",Database!$AG$4:$AG$1048576,"Apotek")),IF($I$5="Rumah Sakit",SUM(SUMIFS(Database!$AV$4:$AV$1048576,Database!$AC$4:$AC$1048576,$I$3,Database!$AE$4:$AE$1048576,{"JK2","MDN","TGR","PKB","PLB","BDL","PMS","PDG","BTM","BAC","JBI","PKP","BKL","LSE","PJT"},Database!$AV$4:$AV$1048576,"=4",Database!$AG$4:$AG$1048576,"Rumah sakit")),IF($I$5="Subdis",SUM(SUMIFS(Database!$AV$4:$AV$1048576,Database!$AC$4:$AC$1048576,$I$3,Database!$AE$4:$AE$1048576,{"JK2","MDN","TGR","PKB","PLB","BDL","PMS","PDG","BTM","BAC","JBI","PKP","BKL","LSE","PJT"},Database!$AV$4:$AV$1048576,"=4",Database!$AG$4:$AG$1048576,"Subdis")),0)))),IF($I$4="Tengah",IF($I$5="All",SUM(SUMIFS(Database!$AV$4:$AV$1048576,Database!$AC$4:$AC$1048576,$I$3,Database!$AE$4:$AE$1048576,{"JK1","JK3","BDG","SMG","BGR","YOG","SLO","CRB","PWK","BKS","KDS","TGL","TSK","SKI","BD2"},Database!$AV$4:$AV$1048576,"=4")),IF($I$5="Apotek",SUM(SUMIFS(Database!$AV$4:$AV$1048576,Database!$AC$4:$AC$1048576,$I$3,Database!$AE$4:$AE$1048576,{"JK1","JK3","BDG","SMG","BGR","YOG","SLO","CRB","PWK","BKS","KDS","TGL","TSK","SKI","BD2"},Database!$AV$4:$AV$1048576,"=4",Database!$AG$4:$AG$1048576,"Apotek")),IF($I$5="Rumah Sakit",SUM(SUMIFS(Database!$AV$4:$AV$1048576,Database!$AC$4:$AC$1048576,$I$3,Database!$AE$4:$AE$1048576,{"JK1","JK3","BDG","SMG","BGR","YOG","SLO","CRB","PWK","BKS","KDS","TGL","TSK","SKI","BD2"},Database!$AV$4:$AV$1048576,"=4",Database!$AG$4:$AG$1048576,"Rumah sakit")),IF($I$5="Subdis",SUM(SUMIFS(Database!$AV$4:$AV$1048576,Database!$AC$4:$AC$1048576,$I$3,Database!$AE$4:$AE$1048576,{"JK1","JK3","BDG","SMG","BGR","YOG","SLO","CRB","PWK","BKS","KDS","TGL","TSK","SKI","BD2"},Database!$AV$4:$AV$1048576,"=4",Database!$AG$4:$AG$1048576,"Subdis")),0)))),IF($I$4="Timur",IF($I$5="All",SUM(SUMIFS(Database!$AV$4:$AV$1048576,Database!$AC$4:$AC$1048576,$I$3,Database!$AE$4:$AE$1048576,{"SB1","SB2","BMS","MKS","DPS","KDR","MLG","SMD","PTK","JBR","MNO","JPU","MTR","BPP","KPG","PLU"},Database!$AV$4:$AV$1048576,"=4")),IF($I$5="Apotek",SUM(SUMIFS(Database!$AV$4:$AV$1048576,Database!$AC$4:$AC$1048576,$I$3,Database!$AE$4:$AE$1048576,{"SB1","SB2","BMS","MKS","DPS","KDR","MLG","SMD","PTK","JBR","MNO","JPU","MTR","BPP","KPG","PLU"},Database!$AV$4:$AV$1048576,"=4",Database!$AG$4:$AG$1048576,"Apotek")),IF($I$5="Rumah Sakit",SUM(SUMIFS(Database!$AV$4:$AV$1048576,Database!$AC$4:$AC$1048576,$I$3,Database!$AE$4:$AE$1048576,{"SB1","SB2","BMS","MKS","DPS","KDR","MLG","SMD","PTK","JBR","MNO","JPU","MTR","BPP","KPG","PLU"},Database!$AV$4:$AV$1048576,"=4",Database!$AG$4:$AG$1048576,"Rumah sakit")),IF($I$5="Subdis",SUM(SUMIFS(Database!$AV$4:$AV$1048576,Database!$AC$4:$AC$1048576,$I$3,Database!$AE$4:$AE$1048576,{"SB1","SB2","BMS","MKS","DPS","KDR","MLG","SMD","PTK","JBR","MNO","JPU","MTR","BPP","KPG","PLU"},Database!$AV$4:$AV$1048576,"=4",Database!$AG$4:$AG$1048576,"Subdis")),0)))))))/$E$8</f>
        <v>0</v>
      </c>
      <c r="L23" s="9">
        <f t="shared" si="1"/>
        <v>0</v>
      </c>
      <c r="M23" s="10" t="e">
        <f>L23/(K23+J23+I23+H23)</f>
        <v>#DIV/0!</v>
      </c>
      <c r="N23" s="10" t="e">
        <f t="shared" si="3"/>
        <v>#DIV/0!</v>
      </c>
      <c r="O23" s="32" t="e">
        <f t="shared" si="4"/>
        <v>#DIV/0!</v>
      </c>
      <c r="P23" s="11" t="s">
        <v>59</v>
      </c>
      <c r="Q23" s="32" t="e">
        <f>RANK(N23,$N$23:$N$28,0)</f>
        <v>#DIV/0!</v>
      </c>
      <c r="R23" s="81" t="e">
        <f t="shared" si="6"/>
        <v>#DIV/0!</v>
      </c>
      <c r="S23" s="81" t="e">
        <f t="shared" si="7"/>
        <v>#DIV/0!</v>
      </c>
      <c r="T23" s="81" t="e">
        <f>RANK(G23,$G$23:$G$28)</f>
        <v>#DIV/0!</v>
      </c>
      <c r="U23" s="81" t="e">
        <f>RANK(M23,$M$23:$M$28)</f>
        <v>#DIV/0!</v>
      </c>
      <c r="V23" s="253" t="s">
        <v>185</v>
      </c>
    </row>
    <row r="24" spans="1:22" ht="18" x14ac:dyDescent="0.35">
      <c r="A24" s="9" t="s">
        <v>29</v>
      </c>
      <c r="B24" s="23">
        <f>IF($I$4="Barat",IF($I$5="All",SUM(SUMIFS(Database!$V$4:$V$1048576,Database!$B$4:$B$1048576,$I$3,Database!$D$4:$D$1048576,{"JK2","MDN","TGR","PKB","PLB","BDL","PMS","PDG","BTM","BAC","JBI","PKP","BKL","LSE","PJT"},Database!$V$4:$V$1048576,"=1")),IF($I$5="Apotek",SUM(SUMIFS(Database!$V$4:$V$1048576,Database!$B$4:$B$1048576,$I$3,Database!$D$4:$D$1048576,{"JK2","MDN","TGR","PKB","PLB","BDL","PMS","PDG","BTM","BAC","JBI","PKP","BKL","LSE","PJT"},Database!$V$4:$V$1048576,"=1",Database!$F$4:$F$1048576,"Apotek")),IF($I$5="Rumah Sakit",SUM(SUMIFS(Database!$V$4:$V$1048576,Database!$B$4:$B$1048576,$I$3,Database!$D$4:$D$1048576,{"JK2","MDN","TGR","PKB","PLB","BDL","PMS","PDG","BTM","BAC","JBI","PKP","BKL","LSE","PJT"},Database!$V$4:$V$1048576,"=1",Database!$F$4:$F$1048576,"Rumah sakit")),IF($I$5="Subdis",SUM(SUMIFS(Database!$V$4:$V$1048576,Database!$B$4:$B$1048576,$I$3,Database!$D$4:$D$1048576,{"JK2","MDN","TGR","PKB","PLB","BDL","PMS","PDG","BTM","BAC","JBI","PKP","BKL","LSE","PJT"},Database!$V$4:$V$1048576,"=1",Database!$F$4:$F$1048576,"Subdis")),0)))),IF($I$4="Tengah",IF($I$5="All",SUM(SUMIFS(Database!$V$4:$V$1048576,Database!$B$4:$B$1048576,$I$3,Database!$D$4:$D$1048576,{"JK1","JK3","BDG","SMG","BGR","YOG","SLO","CRB","PWK","BKS","KDS","TGL","TSK","SKI","BD2"},Database!$V$4:$V$1048576,"=1")),IF($I$5="Apotek",SUM(SUMIFS(Database!$V$4:$V$1048576,Database!$B$4:$B$1048576,$I$3,Database!$D$4:$D$1048576,{"JK1","JK3","BDG","SMG","BGR","YOG","SLO","CRB","PWK","BKS","KDS","TGL","TSK","SKI","BD2"},Database!$V$4:$V$1048576,"=1",Database!$F$4:$F$1048576,"Apotek")),IF($I$5="Rumah Sakit",SUM(SUMIFS(Database!$V$4:$V$1048576,Database!$B$4:$B$1048576,$I$3,Database!$D$4:$D$1048576,{"JK1","JK3","BDG","SMG","BGR","YOG","SLO","CRB","PWK","BKS","KDS","TGL","TSK","SKI","BD2"},Database!$V$4:$V$1048576,"=1",Database!$F$4:$F$1048576,"Rumah sakit")),IF($I$5="Subdis",SUM(SUMIFS(Database!$V$4:$V$1048576,Database!$B$4:$B$1048576,$I$3,Database!$D$4:$D$1048576,{"JK1","JK3","BDG","SMG","BGR","YOG","SLO","CRB","PWK","BKS","KDS","TGL","TSK","SKI","BD2"},Database!$V$4:$V$1048576,"=1",Database!$F$4:$F$1048576,"Subdis")),0)))),IF($I$4="Timur",IF($I$5="All",SUM(SUMIFS(Database!$V$4:$V$1048576,Database!$B$4:$B$1048576,$I$3,Database!$D$4:$D$1048576,{"SB1","SB2","BMS","MKS","DPS","KDR","MLG","SMD","PTK","JBR","MNO","JPU","MTR","BPP","KPG","PLU"},Database!$V$4:$V$1048576,"=1")),IF($I$5="Apotek",SUM(SUMIFS(Database!$V$4:$V$1048576,Database!$B$4:$B$1048576,$I$3,Database!$D$4:$D$1048576,{"SB1","SB2","BMS","MKS","DPS","KDR","MLG","SMD","PTK","JBR","MNO","JPU","MTR","BPP","KPG","PLU"},Database!$V$4:$V$1048576,"=1",Database!$F$4:$F$1048576,"Apotek")),IF($I$5="Rumah Sakit",SUM(SUMIFS(Database!$V$4:$V$1048576,Database!$B$4:$B$1048576,$I$3,Database!$D$4:$D$1048576,{"SB1","SB2","BMS","MKS","DPS","KDR","MLG","SMD","PTK","JBR","MNO","JPU","MTR","BPP","KPG","PLU"},Database!$V$4:$V$1048576,"=1",Database!$F$4:$F$1048576,"Rumah sakit")),IF($I$5="Subdis",SUM(SUMIFS(Database!$V$4:$V$1048576,Database!$B$4:$B$1048576,$I$3,Database!$D$4:$D$1048576,{"SB1","SB2","BMS","MKS","DPS","KDR","MLG","SMD","PTK","JBR","MNO","JPU","MTR","BPP","KPG","PLU"},Database!$V$4:$V$1048576,"=1",Database!$F$4:$F$1048576,"Subdis")),0)))))))/$B$8</f>
        <v>0</v>
      </c>
      <c r="C24" s="23">
        <f>IF($I$4="Barat",IF($I$5="All",SUM(SUMIFS(Database!$V$4:$V$1048576,Database!$B$4:$B$1048576,$I$3,Database!$D$4:$D$1048576,{"JK2","MDN","TGR","PKB","PLB","BDL","PMS","PDG","BTM","BAC","JBI","PKP","BKL","LSE","PJT"},Database!$V$4:$V$1048576,"=2")),IF($I$5="Apotek",SUM(SUMIFS(Database!$V$4:$V$1048576,Database!$B$4:$B$1048576,$I$3,Database!$D$4:$D$1048576,{"JK2","MDN","TGR","PKB","PLB","BDL","PMS","PDG","BTM","BAC","JBI","PKP","BKL","LSE","PJT"},Database!$V$4:$V$1048576,"=2",Database!$F$4:$F$1048576,"Apotek")),IF($I$5="Rumah Sakit",SUM(SUMIFS(Database!$V$4:$V$1048576,Database!$B$4:$B$1048576,$I$3,Database!$D$4:$D$1048576,{"JK2","MDN","TGR","PKB","PLB","BDL","PMS","PDG","BTM","BAC","JBI","PKP","BKL","LSE","PJT"},Database!$V$4:$V$1048576,"=2",Database!$F$4:$F$1048576,"Rumah sakit")),IF($I$5="Subdis",SUM(SUMIFS(Database!$V$4:$V$1048576,Database!$B$4:$B$1048576,$I$3,Database!$D$4:$D$1048576,{"JK2","MDN","TGR","PKB","PLB","BDL","PMS","PDG","BTM","BAC","JBI","PKP","BKL","LSE","PJT"},Database!$V$4:$V$1048576,"=2",Database!$F$4:$F$1048576,"Subdis")),0)))),IF($I$4="Tengah",IF($I$5="All",SUM(SUMIFS(Database!$V$4:$V$1048576,Database!$B$4:$B$1048576,$I$3,Database!$D$4:$D$1048576,{"JK1","JK3","BDG","SMG","BGR","YOG","SLO","CRB","PWK","BKS","KDS","TGL","TSK","SKI","BD2"},Database!$V$4:$V$1048576,"=2")),IF($I$5="Apotek",SUM(SUMIFS(Database!$V$4:$V$1048576,Database!$B$4:$B$1048576,$I$3,Database!$D$4:$D$1048576,{"JK1","JK3","BDG","SMG","BGR","YOG","SLO","CRB","PWK","BKS","KDS","TGL","TSK","SKI","BD2"},Database!$V$4:$V$1048576,"=2",Database!$F$4:$F$1048576,"Apotek")),IF($I$5="Rumah Sakit",SUM(SUMIFS(Database!$V$4:$V$1048576,Database!$B$4:$B$1048576,$I$3,Database!$D$4:$D$1048576,{"JK1","JK3","BDG","SMG","BGR","YOG","SLO","CRB","PWK","BKS","KDS","TGL","TSK","SKI","BD2"},Database!$V$4:$V$1048576,"=2",Database!$F$4:$F$1048576,"Rumah sakit")),IF($I$5="Subdis",SUM(SUMIFS(Database!$V$4:$V$1048576,Database!$B$4:$B$1048576,$I$3,Database!$D$4:$D$1048576,{"JK1","JK3","BDG","SMG","BGR","YOG","SLO","CRB","PWK","BKS","KDS","TGL","TSK","SKI","BD2"},Database!$V$4:$V$1048576,"=2",Database!$F$4:$F$1048576,"Subdis")),0)))),IF($I$4="Timur",IF($I$5="All",SUM(SUMIFS(Database!$V$4:$V$1048576,Database!$B$4:$B$1048576,$I$3,Database!$D$4:$D$1048576,{"SB1","SB2","BMS","MKS","DPS","KDR","MLG","SMD","PTK","JBR","MNO","JPU","MTR","BPP","KPG","PLU"},Database!$V$4:$V$1048576,"=2")),IF($I$5="Apotek",SUM(SUMIFS(Database!$V$4:$V$1048576,Database!$B$4:$B$1048576,$I$3,Database!$D$4:$D$1048576,{"SB1","SB2","BMS","MKS","DPS","KDR","MLG","SMD","PTK","JBR","MNO","JPU","MTR","BPP","KPG","PLU"},Database!$V$4:$V$1048576,"=2",Database!$F$4:$F$1048576,"Apotek")),IF($I$5="Rumah Sakit",SUM(SUMIFS(Database!$V$4:$V$1048576,Database!$B$4:$B$1048576,$I$3,Database!$D$4:$D$1048576,{"SB1","SB2","BMS","MKS","DPS","KDR","MLG","SMD","PTK","JBR","MNO","JPU","MTR","BPP","KPG","PLU"},Database!$V$4:$V$1048576,"=2",Database!$F$4:$F$1048576,"Rumah sakit")),IF($I$5="Subdis",SUM(SUMIFS(Database!$V$4:$V$1048576,Database!$B$4:$B$1048576,$I$3,Database!$D$4:$D$1048576,{"SB1","SB2","BMS","MKS","DPS","KDR","MLG","SMD","PTK","JBR","MNO","JPU","MTR","BPP","KPG","PLU"},Database!$V$4:$V$1048576,"=2",Database!$F$4:$F$1048576,"Subdis")),0)))))))/$C$8</f>
        <v>0</v>
      </c>
      <c r="D24" s="23">
        <f>IF($I$4="Barat",IF($I$5="All",SUM(SUMIFS(Database!$V$4:$V$1048576,Database!$B$4:$B$1048576,$I$3,Database!$D$4:$D$1048576,{"JK2","MDN","TGR","PKB","PLB","BDL","PMS","PDG","BTM","BAC","JBI","PKP","BKL","LSE","PJT"},Database!$V$4:$V$1048576,"=3")),IF($I$5="Apotek",SUM(SUMIFS(Database!$V$4:$V$1048576,Database!$B$4:$B$1048576,$I$3,Database!$D$4:$D$1048576,{"JK2","MDN","TGR","PKB","PLB","BDL","PMS","PDG","BTM","BAC","JBI","PKP","BKL","LSE","PJT"},Database!$V$4:$V$1048576,"=3",Database!$F$4:$F$1048576,"Apotek")),IF($I$5="Rumah Sakit",SUM(SUMIFS(Database!$V$4:$V$1048576,Database!$B$4:$B$1048576,$I$3,Database!$D$4:$D$1048576,{"JK2","MDN","TGR","PKB","PLB","BDL","PMS","PDG","BTM","BAC","JBI","PKP","BKL","LSE","PJT"},Database!$V$4:$V$1048576,"=3",Database!$F$4:$F$1048576,"Rumah sakit")),IF($I$5="Subdis",SUM(SUMIFS(Database!$V$4:$V$1048576,Database!$B$4:$B$1048576,$I$3,Database!$D$4:$D$1048576,{"JK2","MDN","TGR","PKB","PLB","BDL","PMS","PDG","BTM","BAC","JBI","PKP","BKL","LSE","PJT"},Database!$V$4:$V$1048576,"=3",Database!$F$4:$F$1048576,"Subdis")),0)))),IF($I$4="Tengah",IF($I$5="All",SUM(SUMIFS(Database!$V$4:$V$1048576,Database!$B$4:$B$1048576,$I$3,Database!$D$4:$D$1048576,{"JK1","JK3","BDG","SMG","BGR","YOG","SLO","CRB","PWK","BKS","KDS","TGL","TSK","SKI","BD2"},Database!$V$4:$V$1048576,"=3")),IF($I$5="Apotek",SUM(SUMIFS(Database!$V$4:$V$1048576,Database!$B$4:$B$1048576,$I$3,Database!$D$4:$D$1048576,{"JK1","JK3","BDG","SMG","BGR","YOG","SLO","CRB","PWK","BKS","KDS","TGL","TSK","SKI","BD2"},Database!$V$4:$V$1048576,"=3",Database!$F$4:$F$1048576,"Apotek")),IF($I$5="Rumah Sakit",SUM(SUMIFS(Database!$V$4:$V$1048576,Database!$B$4:$B$1048576,$I$3,Database!$D$4:$D$1048576,{"JK1","JK3","BDG","SMG","BGR","YOG","SLO","CRB","PWK","BKS","KDS","TGL","TSK","SKI","BD2"},Database!$V$4:$V$1048576,"=3",Database!$F$4:$F$1048576,"Rumah sakit")),IF($I$5="Subdis",SUM(SUMIFS(Database!$V$4:$V$1048576,Database!$B$4:$B$1048576,$I$3,Database!$D$4:$D$1048576,{"JK1","JK3","BDG","SMG","BGR","YOG","SLO","CRB","PWK","BKS","KDS","TGL","TSK","SKI","BD2"},Database!$V$4:$V$1048576,"=3",Database!$F$4:$F$1048576,"Subdis")),0)))),IF($I$4="Timur",IF($I$5="All",SUM(SUMIFS(Database!$V$4:$V$1048576,Database!$B$4:$B$1048576,$I$3,Database!$D$4:$D$1048576,{"SB1","SB2","BMS","MKS","DPS","KDR","MLG","SMD","PTK","JBR","MNO","JPU","MTR","BPP","KPG","PLU"},Database!$V$4:$V$1048576,"=3")),IF($I$5="Apotek",SUM(SUMIFS(Database!$V$4:$V$1048576,Database!$B$4:$B$1048576,$I$3,Database!$D$4:$D$1048576,{"SB1","SB2","BMS","MKS","DPS","KDR","MLG","SMD","PTK","JBR","MNO","JPU","MTR","BPP","KPG","PLU"},Database!$V$4:$V$1048576,"=3",Database!$F$4:$F$1048576,"Apotek")),IF($I$5="Rumah Sakit",SUM(SUMIFS(Database!$V$4:$V$1048576,Database!$B$4:$B$1048576,$I$3,Database!$D$4:$D$1048576,{"SB1","SB2","BMS","MKS","DPS","KDR","MLG","SMD","PTK","JBR","MNO","JPU","MTR","BPP","KPG","PLU"},Database!$V$4:$V$1048576,"=3",Database!$F$4:$F$1048576,"Rumah sakit")),IF($I$5="Subdis",SUM(SUMIFS(Database!$V$4:$V$1048576,Database!$B$4:$B$1048576,$I$3,Database!$D$4:$D$1048576,{"SB1","SB2","BMS","MKS","DPS","KDR","MLG","SMD","PTK","JBR","MNO","JPU","MTR","BPP","KPG","PLU"},Database!$V$4:$V$1048576,"=3",Database!$F$4:$F$1048576,"Subdis")),0)))))))/$D$8</f>
        <v>0</v>
      </c>
      <c r="E24" s="23">
        <f>IF($I$4="Barat",IF($I$5="All",SUM(SUMIFS(Database!$V$4:$V$1048576,Database!$B$4:$B$1048576,$I$3,Database!$D$4:$D$1048576,{"JK2","MDN","TGR","PKB","PLB","BDL","PMS","PDG","BTM","BAC","JBI","PKP","BKL","LSE","PJT"},Database!$V$4:$V$1048576,"=4")),IF($I$5="Apotek",SUM(SUMIFS(Database!$V$4:$V$1048576,Database!$B$4:$B$1048576,$I$3,Database!$D$4:$D$1048576,{"JK2","MDN","TGR","PKB","PLB","BDL","PMS","PDG","BTM","BAC","JBI","PKP","BKL","LSE","PJT"},Database!$V$4:$V$1048576,"=4",Database!$F$4:$F$1048576,"Apotek")),IF($I$5="Rumah Sakit",SUM(SUMIFS(Database!$V$4:$V$1048576,Database!$B$4:$B$1048576,$I$3,Database!$D$4:$D$1048576,{"JK2","MDN","TGR","PKB","PLB","BDL","PMS","PDG","BTM","BAC","JBI","PKP","BKL","LSE","PJT"},Database!$V$4:$V$1048576,"=4",Database!$F$4:$F$1048576,"Rumah sakit")),IF($I$5="Subdis",SUM(SUMIFS(Database!$V$4:$V$1048576,Database!$B$4:$B$1048576,$I$3,Database!$D$4:$D$1048576,{"JK2","MDN","TGR","PKB","PLB","BDL","PMS","PDG","BTM","BAC","JBI","PKP","BKL","LSE","PJT"},Database!$V$4:$V$1048576,"=4",Database!$F$4:$F$1048576,"Subdis")),0)))),IF($I$4="Tengah",IF($I$5="All",SUM(SUMIFS(Database!$V$4:$V$1048576,Database!$B$4:$B$1048576,$I$3,Database!$D$4:$D$1048576,{"JK1","JK3","BDG","SMG","BGR","YOG","SLO","CRB","PWK","BKS","KDS","TGL","TSK","SKI","BD2"},Database!$V$4:$V$1048576,"=4")),IF($I$5="Apotek",SUM(SUMIFS(Database!$V$4:$V$1048576,Database!$B$4:$B$1048576,$I$3,Database!$D$4:$D$1048576,{"JK1","JK3","BDG","SMG","BGR","YOG","SLO","CRB","PWK","BKS","KDS","TGL","TSK","SKI","BD2"},Database!$V$4:$V$1048576,"=4",Database!$F$4:$F$1048576,"Apotek")),IF($I$5="Rumah Sakit",SUM(SUMIFS(Database!$V$4:$V$1048576,Database!$B$4:$B$1048576,$I$3,Database!$D$4:$D$1048576,{"JK1","JK3","BDG","SMG","BGR","YOG","SLO","CRB","PWK","BKS","KDS","TGL","TSK","SKI","BD2"},Database!$V$4:$V$1048576,"=4",Database!$F$4:$F$1048576,"Rumah sakit")),IF($I$5="Subdis",SUM(SUMIFS(Database!$V$4:$V$1048576,Database!$B$4:$B$1048576,$I$3,Database!$D$4:$D$1048576,{"JK1","JK3","BDG","SMG","BGR","YOG","SLO","CRB","PWK","BKS","KDS","TGL","TSK","SKI","BD2"},Database!$V$4:$V$1048576,"=4",Database!$F$4:$F$1048576,"Subdis")),0)))),IF($I$4="Timur",IF($I$5="All",SUM(SUMIFS(Database!$V$4:$V$1048576,Database!$B$4:$B$1048576,$I$3,Database!$D$4:$D$1048576,{"SB1","SB2","BMS","MKS","DPS","KDR","MLG","SMD","PTK","JBR","MNO","JPU","MTR","BPP","KPG","PLU"},Database!$V$4:$V$1048576,"=4")),IF($I$5="Apotek",SUM(SUMIFS(Database!$V$4:$V$1048576,Database!$B$4:$B$1048576,$I$3,Database!$D$4:$D$1048576,{"SB1","SB2","BMS","MKS","DPS","KDR","MLG","SMD","PTK","JBR","MNO","JPU","MTR","BPP","KPG","PLU"},Database!$V$4:$V$1048576,"=4",Database!$F$4:$F$1048576,"Apotek")),IF($I$5="Rumah Sakit",SUM(SUMIFS(Database!$V$4:$V$1048576,Database!$B$4:$B$1048576,$I$3,Database!$D$4:$D$1048576,{"SB1","SB2","BMS","MKS","DPS","KDR","MLG","SMD","PTK","JBR","MNO","JPU","MTR","BPP","KPG","PLU"},Database!$V$4:$V$1048576,"=4",Database!$F$4:$F$1048576,"Rumah sakit")),IF($I$5="Subdis",SUM(SUMIFS(Database!$V$4:$V$1048576,Database!$B$4:$B$1048576,$I$3,Database!$D$4:$D$1048576,{"SB1","SB2","BMS","MKS","DPS","KDR","MLG","SMD","PTK","JBR","MNO","JPU","MTR","BPP","KPG","PLU"},Database!$V$4:$V$1048576,"=4",Database!$F$4:$F$1048576,"Subdis")),0)))))))/$E$8</f>
        <v>0</v>
      </c>
      <c r="F24" s="9">
        <f t="shared" si="0"/>
        <v>0</v>
      </c>
      <c r="G24" s="10" t="e">
        <f t="shared" si="10"/>
        <v>#DIV/0!</v>
      </c>
      <c r="H24" s="23">
        <f>IF($I$4="Barat",IF($I$5="All",SUM(SUMIFS(Database!$AW$4:$AW$1048576,Database!$AC$4:$AC$1048576,$I$3,Database!$AE$4:$AE$1048576,{"JK2","MDN","TGR","PKB","PLB","BDL","PMS","PDG","BTM","BAC","JBI","PKP","BKL","LSE","PJT"},Database!$AW$4:$AW$1048576,"=1")),IF($I$5="Apotek",SUM(SUMIFS(Database!$AW$4:$AW$1048576,Database!$AC$4:$AC$1048576,$I$3,Database!$AE$4:$AE$1048576,{"JK2","MDN","TGR","PKB","PLB","BDL","PMS","PDG","BTM","BAC","JBI","PKP","BKL","LSE","PJT"},Database!$AW$4:$AW$1048576,"=1",Database!$AG$4:$AG$1048576,"Apotek")),IF($I$5="Rumah Sakit",SUM(SUMIFS(Database!$AW$4:$AW$1048576,Database!$AC$4:$AC$1048576,$I$3,Database!$AE$4:$AE$1048576,{"JK2","MDN","TGR","PKB","PLB","BDL","PMS","PDG","BTM","BAC","JBI","PKP","BKL","LSE","PJT"},Database!$AW$4:$AW$1048576,"=1",Database!$AG$4:$AG$1048576,"Rumah sakit")),IF($I$5="Subdis",SUM(SUMIFS(Database!$AW$4:$AW$1048576,Database!$AC$4:$AC$1048576,$I$3,Database!$AE$4:$AE$1048576,{"JK2","MDN","TGR","PKB","PLB","BDL","PMS","PDG","BTM","BAC","JBI","PKP","BKL","LSE","PJT"},Database!$AW$4:$AW$1048576,"=1",Database!$AG$4:$AG$1048576,"Subdis")),0)))),IF($I$4="Tengah",IF($I$5="All",SUM(SUMIFS(Database!$AW$4:$AW$1048576,Database!$AC$4:$AC$1048576,$I$3,Database!$AE$4:$AE$1048576,{"JK1","JK3","BDG","SMG","BGR","YOG","SLO","CRB","PWK","BKS","KDS","TGL","TSK","SKI","BD2"},Database!$AW$4:$AW$1048576,"=1")),IF($I$5="Apotek",SUM(SUMIFS(Database!$AW$4:$AW$1048576,Database!$AC$4:$AC$1048576,$I$3,Database!$AE$4:$AE$1048576,{"JK1","JK3","BDG","SMG","BGR","YOG","SLO","CRB","PWK","BKS","KDS","TGL","TSK","SKI","BD2"},Database!$AW$4:$AW$1048576,"=1",Database!$AG$4:$AG$1048576,"Apotek")),IF($I$5="Rumah Sakit",SUM(SUMIFS(Database!$AW$4:$AW$1048576,Database!$AC$4:$AC$1048576,$I$3,Database!$AE$4:$AE$1048576,{"JK1","JK3","BDG","SMG","BGR","YOG","SLO","CRB","PWK","BKS","KDS","TGL","TSK","SKI","BD2"},Database!$AW$4:$AW$1048576,"=1",Database!$AG$4:$AG$1048576,"Rumah sakit")),IF($I$5="Subdis",SUM(SUMIFS(Database!$AW$4:$AW$1048576,Database!$AC$4:$AC$1048576,$I$3,Database!$AE$4:$AE$1048576,{"JK1","JK3","BDG","SMG","BGR","YOG","SLO","CRB","PWK","BKS","KDS","TGL","TSK","SKI","BD2"},Database!$AW$4:$AW$1048576,"=1",Database!$AG$4:$AG$1048576,"Subdis")),0)))),IF($I$4="Timur",IF($I$5="All",SUM(SUMIFS(Database!$AW$4:$AW$1048576,Database!$AC$4:$AC$1048576,$I$3,Database!$AE$4:$AE$1048576,{"SB1","SB2","BMS","MKS","DPS","KDR","MLG","SMD","PTK","JBR","MNO","JPU","MTR","BPP","KPG","PLU"},Database!$AW$4:$AW$1048576,"=1")),IF($I$5="Apotek",SUM(SUMIFS(Database!$AW$4:$AW$1048576,Database!$AC$4:$AC$1048576,$I$3,Database!$AE$4:$AE$1048576,{"SB1","SB2","BMS","MKS","DPS","KDR","MLG","SMD","PTK","JBR","MNO","JPU","MTR","BPP","KPG","PLU"},Database!$AW$4:$AW$1048576,"=1",Database!$AG$4:$AG$1048576,"Apotek")),IF($I$5="Rumah Sakit",SUM(SUMIFS(Database!$AW$4:$AW$1048576,Database!$AC$4:$AC$1048576,$I$3,Database!$AE$4:$AE$1048576,{"SB1","SB2","BMS","MKS","DPS","KDR","MLG","SMD","PTK","JBR","MNO","JPU","MTR","BPP","KPG","PLU"},Database!$AW$4:$AW$1048576,"=1",Database!$AG$4:$AG$1048576,"Rumah sakit")),IF($I$5="Subdis",SUM(SUMIFS(Database!$AW$4:$AW$1048576,Database!$AC$4:$AC$1048576,$I$3,Database!$AE$4:$AE$1048576,{"SB1","SB2","BMS","MKS","DPS","KDR","MLG","SMD","PTK","JBR","MNO","JPU","MTR","BPP","KPG","PLU"},Database!$AW$4:$AW$1048576,"=1",Database!$AG$4:$AG$1048576,"Subdis")),0)))))))/$B$8</f>
        <v>0</v>
      </c>
      <c r="I24" s="23">
        <f>IF($I$4="Barat",IF($I$5="All",SUM(SUMIFS(Database!$AW$4:$AW$1048576,Database!$AC$4:$AC$1048576,$I$3,Database!$AE$4:$AE$1048576,{"JK2","MDN","TGR","PKB","PLB","BDL","PMS","PDG","BTM","BAC","JBI","PKP","BKL","LSE","PJT"},Database!$AW$4:$AW$1048576,"=2")),IF($I$5="Apotek",SUM(SUMIFS(Database!$AW$4:$AW$1048576,Database!$AC$4:$AC$1048576,$I$3,Database!$AE$4:$AE$1048576,{"JK2","MDN","TGR","PKB","PLB","BDL","PMS","PDG","BTM","BAC","JBI","PKP","BKL","LSE","PJT"},Database!$AW$4:$AW$1048576,"=2",Database!$AG$4:$AG$1048576,"Apotek")),IF($I$5="Rumah Sakit",SUM(SUMIFS(Database!$AW$4:$AW$1048576,Database!$AC$4:$AC$1048576,$I$3,Database!$AE$4:$AE$1048576,{"JK2","MDN","TGR","PKB","PLB","BDL","PMS","PDG","BTM","BAC","JBI","PKP","BKL","LSE","PJT"},Database!$AW$4:$AW$1048576,"=2",Database!$AG$4:$AG$1048576,"Rumah sakit")),IF($I$5="Subdis",SUM(SUMIFS(Database!$AW$4:$AW$1048576,Database!$AC$4:$AC$1048576,$I$3,Database!$AE$4:$AE$1048576,{"JK2","MDN","TGR","PKB","PLB","BDL","PMS","PDG","BTM","BAC","JBI","PKP","BKL","LSE","PJT"},Database!$AW$4:$AW$1048576,"=2",Database!$AG$4:$AG$1048576,"Subdis")),0)))),IF($I$4="Tengah",IF($I$5="All",SUM(SUMIFS(Database!$AW$4:$AW$1048576,Database!$AC$4:$AC$1048576,$I$3,Database!$AE$4:$AE$1048576,{"JK1","JK3","BDG","SMG","BGR","YOG","SLO","CRB","PWK","BKS","KDS","TGL","TSK","SKI","BD2"},Database!$AW$4:$AW$1048576,"=2")),IF($I$5="Apotek",SUM(SUMIFS(Database!$AW$4:$AW$1048576,Database!$AC$4:$AC$1048576,$I$3,Database!$AE$4:$AE$1048576,{"JK1","JK3","BDG","SMG","BGR","YOG","SLO","CRB","PWK","BKS","KDS","TGL","TSK","SKI","BD2"},Database!$AW$4:$AW$1048576,"=2",Database!$AG$4:$AG$1048576,"Apotek")),IF($I$5="Rumah Sakit",SUM(SUMIFS(Database!$AW$4:$AW$1048576,Database!$AC$4:$AC$1048576,$I$3,Database!$AE$4:$AE$1048576,{"JK1","JK3","BDG","SMG","BGR","YOG","SLO","CRB","PWK","BKS","KDS","TGL","TSK","SKI","BD2"},Database!$AW$4:$AW$1048576,"=2",Database!$AG$4:$AG$1048576,"Rumah sakit")),IF($I$5="Subdis",SUM(SUMIFS(Database!$AW$4:$AW$1048576,Database!$AC$4:$AC$1048576,$I$3,Database!$AE$4:$AE$1048576,{"JK1","JK3","BDG","SMG","BGR","YOG","SLO","CRB","PWK","BKS","KDS","TGL","TSK","SKI","BD2"},Database!$AW$4:$AW$1048576,"=2",Database!$AG$4:$AG$1048576,"Subdis")),0)))),IF($I$4="Timur",IF($I$5="All",SUM(SUMIFS(Database!$AW$4:$AW$1048576,Database!$AC$4:$AC$1048576,$I$3,Database!$AE$4:$AE$1048576,{"SB1","SB2","BMS","MKS","DPS","KDR","MLG","SMD","PTK","JBR","MNO","JPU","MTR","BPP","KPG","PLU"},Database!$AW$4:$AW$1048576,"=2")),IF($I$5="Apotek",SUM(SUMIFS(Database!$AW$4:$AW$1048576,Database!$AC$4:$AC$1048576,$I$3,Database!$AE$4:$AE$1048576,{"SB1","SB2","BMS","MKS","DPS","KDR","MLG","SMD","PTK","JBR","MNO","JPU","MTR","BPP","KPG","PLU"},Database!$AW$4:$AW$1048576,"=2",Database!$AG$4:$AG$1048576,"Apotek")),IF($I$5="Rumah Sakit",SUM(SUMIFS(Database!$AW$4:$AW$1048576,Database!$AC$4:$AC$1048576,$I$3,Database!$AE$4:$AE$1048576,{"SB1","SB2","BMS","MKS","DPS","KDR","MLG","SMD","PTK","JBR","MNO","JPU","MTR","BPP","KPG","PLU"},Database!$AW$4:$AW$1048576,"=2",Database!$AG$4:$AG$1048576,"Rumah sakit")),IF($I$5="Subdis",SUM(SUMIFS(Database!$AW$4:$AW$1048576,Database!$AC$4:$AC$1048576,$I$3,Database!$AE$4:$AE$1048576,{"SB1","SB2","BMS","MKS","DPS","KDR","MLG","SMD","PTK","JBR","MNO","JPU","MTR","BPP","KPG","PLU"},Database!$AW$4:$AW$1048576,"=2",Database!$AG$4:$AG$1048576,"Subdis")),0)))))))/$C$8</f>
        <v>0</v>
      </c>
      <c r="J24" s="23">
        <f>IF($I$4="Barat",IF($I$5="All",SUM(SUMIFS(Database!$AW$4:$AW$1048576,Database!$AC$4:$AC$1048576,$I$3,Database!$AE$4:$AE$1048576,{"JK2","MDN","TGR","PKB","PLB","BDL","PMS","PDG","BTM","BAC","JBI","PKP","BKL","LSE","PJT"},Database!$AW$4:$AW$1048576,"=3")),IF($I$5="Apotek",SUM(SUMIFS(Database!$AW$4:$AW$1048576,Database!$AC$4:$AC$1048576,$I$3,Database!$AE$4:$AE$1048576,{"JK2","MDN","TGR","PKB","PLB","BDL","PMS","PDG","BTM","BAC","JBI","PKP","BKL","LSE","PJT"},Database!$AW$4:$AW$1048576,"=3",Database!$AG$4:$AG$1048576,"Apotek")),IF($I$5="Rumah Sakit",SUM(SUMIFS(Database!$AW$4:$AW$1048576,Database!$AC$4:$AC$1048576,$I$3,Database!$AE$4:$AE$1048576,{"JK2","MDN","TGR","PKB","PLB","BDL","PMS","PDG","BTM","BAC","JBI","PKP","BKL","LSE","PJT"},Database!$AW$4:$AW$1048576,"=3",Database!$AG$4:$AG$1048576,"Rumah sakit")),IF($I$5="Subdis",SUM(SUMIFS(Database!$AW$4:$AW$1048576,Database!$AC$4:$AC$1048576,$I$3,Database!$AE$4:$AE$1048576,{"JK2","MDN","TGR","PKB","PLB","BDL","PMS","PDG","BTM","BAC","JBI","PKP","BKL","LSE","PJT"},Database!$AW$4:$AW$1048576,"=3",Database!$AG$4:$AG$1048576,"Subdis")),0)))),IF($I$4="Tengah",IF($I$5="All",SUM(SUMIFS(Database!$AW$4:$AW$1048576,Database!$AC$4:$AC$1048576,$I$3,Database!$AE$4:$AE$1048576,{"JK1","JK3","BDG","SMG","BGR","YOG","SLO","CRB","PWK","BKS","KDS","TGL","TSK","SKI","BD2"},Database!$AW$4:$AW$1048576,"=3")),IF($I$5="Apotek",SUM(SUMIFS(Database!$AW$4:$AW$1048576,Database!$AC$4:$AC$1048576,$I$3,Database!$AE$4:$AE$1048576,{"JK1","JK3","BDG","SMG","BGR","YOG","SLO","CRB","PWK","BKS","KDS","TGL","TSK","SKI","BD2"},Database!$AW$4:$AW$1048576,"=3",Database!$AG$4:$AG$1048576,"Apotek")),IF($I$5="Rumah Sakit",SUM(SUMIFS(Database!$AW$4:$AW$1048576,Database!$AC$4:$AC$1048576,$I$3,Database!$AE$4:$AE$1048576,{"JK1","JK3","BDG","SMG","BGR","YOG","SLO","CRB","PWK","BKS","KDS","TGL","TSK","SKI","BD2"},Database!$AW$4:$AW$1048576,"=3",Database!$AG$4:$AG$1048576,"Rumah sakit")),IF($I$5="Subdis",SUM(SUMIFS(Database!$AW$4:$AW$1048576,Database!$AC$4:$AC$1048576,$I$3,Database!$AE$4:$AE$1048576,{"JK1","JK3","BDG","SMG","BGR","YOG","SLO","CRB","PWK","BKS","KDS","TGL","TSK","SKI","BD2"},Database!$AW$4:$AW$1048576,"=3",Database!$AG$4:$AG$1048576,"Subdis")),0)))),IF($I$4="Timur",IF($I$5="All",SUM(SUMIFS(Database!$AW$4:$AW$1048576,Database!$AC$4:$AC$1048576,$I$3,Database!$AE$4:$AE$1048576,{"SB1","SB2","BMS","MKS","DPS","KDR","MLG","SMD","PTK","JBR","MNO","JPU","MTR","BPP","KPG","PLU"},Database!$AW$4:$AW$1048576,"=3")),IF($I$5="Apotek",SUM(SUMIFS(Database!$AW$4:$AW$1048576,Database!$AC$4:$AC$1048576,$I$3,Database!$AE$4:$AE$1048576,{"SB1","SB2","BMS","MKS","DPS","KDR","MLG","SMD","PTK","JBR","MNO","JPU","MTR","BPP","KPG","PLU"},Database!$AW$4:$AW$1048576,"=3",Database!$AG$4:$AG$1048576,"Apotek")),IF($I$5="Rumah Sakit",SUM(SUMIFS(Database!$AW$4:$AW$1048576,Database!$AC$4:$AC$1048576,$I$3,Database!$AE$4:$AE$1048576,{"SB1","SB2","BMS","MKS","DPS","KDR","MLG","SMD","PTK","JBR","MNO","JPU","MTR","BPP","KPG","PLU"},Database!$AW$4:$AW$1048576,"=3",Database!$AG$4:$AG$1048576,"Rumah sakit")),IF($I$5="Subdis",SUM(SUMIFS(Database!$AW$4:$AW$1048576,Database!$AC$4:$AC$1048576,$I$3,Database!$AE$4:$AE$1048576,{"SB1","SB2","BMS","MKS","DPS","KDR","MLG","SMD","PTK","JBR","MNO","JPU","MTR","BPP","KPG","PLU"},Database!$AW$4:$AW$1048576,"=3",Database!$AG$4:$AG$1048576,"Subdis")),0)))))))/$D$8</f>
        <v>0</v>
      </c>
      <c r="K24" s="23">
        <f>IF($I$4="Barat",IF($I$5="All",SUM(SUMIFS(Database!$AW$4:$AW$1048576,Database!$AC$4:$AC$1048576,$I$3,Database!$AE$4:$AE$1048576,{"JK2","MDN","TGR","PKB","PLB","BDL","PMS","PDG","BTM","BAC","JBI","PKP","BKL","LSE","PJT"},Database!$AW$4:$AW$1048576,"=4")),IF($I$5="Apotek",SUM(SUMIFS(Database!$AW$4:$AW$1048576,Database!$AC$4:$AC$1048576,$I$3,Database!$AE$4:$AE$1048576,{"JK2","MDN","TGR","PKB","PLB","BDL","PMS","PDG","BTM","BAC","JBI","PKP","BKL","LSE","PJT"},Database!$AW$4:$AW$1048576,"=4",Database!$AG$4:$AG$1048576,"Apotek")),IF($I$5="Rumah Sakit",SUM(SUMIFS(Database!$AW$4:$AW$1048576,Database!$AC$4:$AC$1048576,$I$3,Database!$AE$4:$AE$1048576,{"JK2","MDN","TGR","PKB","PLB","BDL","PMS","PDG","BTM","BAC","JBI","PKP","BKL","LSE","PJT"},Database!$AW$4:$AW$1048576,"=4",Database!$AG$4:$AG$1048576,"Rumah sakit")),IF($I$5="Subdis",SUM(SUMIFS(Database!$AW$4:$AW$1048576,Database!$AC$4:$AC$1048576,$I$3,Database!$AE$4:$AE$1048576,{"JK2","MDN","TGR","PKB","PLB","BDL","PMS","PDG","BTM","BAC","JBI","PKP","BKL","LSE","PJT"},Database!$AW$4:$AW$1048576,"=4",Database!$AG$4:$AG$1048576,"Subdis")),0)))),IF($I$4="Tengah",IF($I$5="All",SUM(SUMIFS(Database!$AW$4:$AW$1048576,Database!$AC$4:$AC$1048576,$I$3,Database!$AE$4:$AE$1048576,{"JK1","JK3","BDG","SMG","BGR","YOG","SLO","CRB","PWK","BKS","KDS","TGL","TSK","SKI","BD2"},Database!$AW$4:$AW$1048576,"=4")),IF($I$5="Apotek",SUM(SUMIFS(Database!$AW$4:$AW$1048576,Database!$AC$4:$AC$1048576,$I$3,Database!$AE$4:$AE$1048576,{"JK1","JK3","BDG","SMG","BGR","YOG","SLO","CRB","PWK","BKS","KDS","TGL","TSK","SKI","BD2"},Database!$AW$4:$AW$1048576,"=4",Database!$AG$4:$AG$1048576,"Apotek")),IF($I$5="Rumah Sakit",SUM(SUMIFS(Database!$AW$4:$AW$1048576,Database!$AC$4:$AC$1048576,$I$3,Database!$AE$4:$AE$1048576,{"JK1","JK3","BDG","SMG","BGR","YOG","SLO","CRB","PWK","BKS","KDS","TGL","TSK","SKI","BD2"},Database!$AW$4:$AW$1048576,"=4",Database!$AG$4:$AG$1048576,"Rumah sakit")),IF($I$5="Subdis",SUM(SUMIFS(Database!$AW$4:$AW$1048576,Database!$AC$4:$AC$1048576,$I$3,Database!$AE$4:$AE$1048576,{"JK1","JK3","BDG","SMG","BGR","YOG","SLO","CRB","PWK","BKS","KDS","TGL","TSK","SKI","BD2"},Database!$AW$4:$AW$1048576,"=4",Database!$AG$4:$AG$1048576,"Subdis")),0)))),IF($I$4="Timur",IF($I$5="All",SUM(SUMIFS(Database!$AW$4:$AW$1048576,Database!$AC$4:$AC$1048576,$I$3,Database!$AE$4:$AE$1048576,{"SB1","SB2","BMS","MKS","DPS","KDR","MLG","SMD","PTK","JBR","MNO","JPU","MTR","BPP","KPG","PLU"},Database!$AW$4:$AW$1048576,"=4")),IF($I$5="Apotek",SUM(SUMIFS(Database!$AW$4:$AW$1048576,Database!$AC$4:$AC$1048576,$I$3,Database!$AE$4:$AE$1048576,{"SB1","SB2","BMS","MKS","DPS","KDR","MLG","SMD","PTK","JBR","MNO","JPU","MTR","BPP","KPG","PLU"},Database!$AW$4:$AW$1048576,"=4",Database!$AG$4:$AG$1048576,"Apotek")),IF($I$5="Rumah Sakit",SUM(SUMIFS(Database!$AW$4:$AW$1048576,Database!$AC$4:$AC$1048576,$I$3,Database!$AE$4:$AE$1048576,{"SB1","SB2","BMS","MKS","DPS","KDR","MLG","SMD","PTK","JBR","MNO","JPU","MTR","BPP","KPG","PLU"},Database!$AW$4:$AW$1048576,"=4",Database!$AG$4:$AG$1048576,"Rumah sakit")),IF($I$5="Subdis",SUM(SUMIFS(Database!$AW$4:$AW$1048576,Database!$AC$4:$AC$1048576,$I$3,Database!$AE$4:$AE$1048576,{"SB1","SB2","BMS","MKS","DPS","KDR","MLG","SMD","PTK","JBR","MNO","JPU","MTR","BPP","KPG","PLU"},Database!$AW$4:$AW$1048576,"=4",Database!$AG$4:$AG$1048576,"Subdis")),0)))))))/$E$8</f>
        <v>0</v>
      </c>
      <c r="L24" s="9">
        <f t="shared" si="1"/>
        <v>0</v>
      </c>
      <c r="M24" s="10" t="e">
        <f t="shared" si="2"/>
        <v>#DIV/0!</v>
      </c>
      <c r="N24" s="10" t="e">
        <f t="shared" si="3"/>
        <v>#DIV/0!</v>
      </c>
      <c r="O24" s="32" t="e">
        <f t="shared" si="4"/>
        <v>#DIV/0!</v>
      </c>
      <c r="P24" s="11" t="s">
        <v>60</v>
      </c>
      <c r="Q24" s="32" t="e">
        <f t="shared" ref="Q24:Q28" si="18">RANK(N24,$N$23:$N$28,0)</f>
        <v>#DIV/0!</v>
      </c>
      <c r="R24" s="81" t="e">
        <f t="shared" si="6"/>
        <v>#DIV/0!</v>
      </c>
      <c r="S24" s="81" t="e">
        <f t="shared" si="7"/>
        <v>#DIV/0!</v>
      </c>
      <c r="T24" s="81" t="e">
        <f t="shared" ref="T24:T28" si="19">RANK(G24,$G$23:$G$28)</f>
        <v>#DIV/0!</v>
      </c>
      <c r="U24" s="81" t="e">
        <f t="shared" ref="U24:U28" si="20">RANK(M24,$M$23:$M$28)</f>
        <v>#DIV/0!</v>
      </c>
      <c r="V24" s="253"/>
    </row>
    <row r="25" spans="1:22" ht="18" x14ac:dyDescent="0.35">
      <c r="A25" s="9" t="s">
        <v>30</v>
      </c>
      <c r="B25" s="23">
        <f>IF($I$4="Barat",IF($I$5="All",SUM(SUMIFS(Database!$W$4:$W$1048576,Database!$B$4:$B$1048576,$I$3,Database!$D$4:$D$1048576,{"JK2","MDN","TGR","PKB","PLB","BDL","PMS","PDG","BTM","BAC","JBI","PKP","BKL","LSE","PJT"},Database!$W$4:$W$1048576,"=1")),IF($I$5="Apotek",SUM(SUMIFS(Database!$W$4:$W$1048576,Database!$B$4:$B$1048576,$I$3,Database!$D$4:$D$1048576,{"JK2","MDN","TGR","PKB","PLB","BDL","PMS","PDG","BTM","BAC","JBI","PKP","BKL","LSE","PJT"},Database!$W$4:$W$1048576,"=1",Database!$F$4:$F$1048576,"Apotek")),IF($I$5="Rumah Sakit",SUM(SUMIFS(Database!$W$4:$W$1048576,Database!$B$4:$B$1048576,$I$3,Database!$D$4:$D$1048576,{"JK2","MDN","TGR","PKB","PLB","BDL","PMS","PDG","BTM","BAC","JBI","PKP","BKL","LSE","PJT"},Database!$W$4:$W$1048576,"=1",Database!$F$4:$F$1048576,"Rumah sakit")),IF($I$5="Subdis",SUM(SUMIFS(Database!$W$4:$W$1048576,Database!$B$4:$B$1048576,$I$3,Database!$D$4:$D$1048576,{"JK2","MDN","TGR","PKB","PLB","BDL","PMS","PDG","BTM","BAC","JBI","PKP","BKL","LSE","PJT"},Database!$W$4:$W$1048576,"=1",Database!$F$4:$F$1048576,"Subdis")),0)))),IF($I$4="Tengah",IF($I$5="All",SUM(SUMIFS(Database!$W$4:$W$1048576,Database!$B$4:$B$1048576,$I$3,Database!$D$4:$D$1048576,{"JK1","JK3","BDG","SMG","BGR","YOG","SLO","CRB","PWK","BKS","KDS","TGL","TSK","SKI","BD2"},Database!$W$4:$W$1048576,"=1")),IF($I$5="Apotek",SUM(SUMIFS(Database!$W$4:$W$1048576,Database!$B$4:$B$1048576,$I$3,Database!$D$4:$D$1048576,{"JK1","JK3","BDG","SMG","BGR","YOG","SLO","CRB","PWK","BKS","KDS","TGL","TSK","SKI","BD2"},Database!$W$4:$W$1048576,"=1",Database!$F$4:$F$1048576,"Apotek")),IF($I$5="Rumah Sakit",SUM(SUMIFS(Database!$W$4:$W$1048576,Database!$B$4:$B$1048576,$I$3,Database!$D$4:$D$1048576,{"JK1","JK3","BDG","SMG","BGR","YOG","SLO","CRB","PWK","BKS","KDS","TGL","TSK","SKI","BD2"},Database!$W$4:$W$1048576,"=1",Database!$F$4:$F$1048576,"Rumah sakit")),IF($I$5="Subdis",SUM(SUMIFS(Database!$W$4:$W$1048576,Database!$B$4:$B$1048576,$I$3,Database!$D$4:$D$1048576,{"JK1","JK3","BDG","SMG","BGR","YOG","SLO","CRB","PWK","BKS","KDS","TGL","TSK","SKI","BD2"},Database!$W$4:$W$1048576,"=1",Database!$F$4:$F$1048576,"Subdis")),0)))),IF($I$4="Timur",IF($I$5="All",SUM(SUMIFS(Database!$W$4:$W$1048576,Database!$B$4:$B$1048576,$I$3,Database!$D$4:$D$1048576,{"SB1","SB2","BMS","MKS","DPS","KDR","MLG","SMD","PTK","JBR","MNO","JPU","MTR","BPP","KPG","PLU"},Database!$W$4:$W$1048576,"=1")),IF($I$5="Apotek",SUM(SUMIFS(Database!$W$4:$W$1048576,Database!$B$4:$B$1048576,$I$3,Database!$D$4:$D$1048576,{"SB1","SB2","BMS","MKS","DPS","KDR","MLG","SMD","PTK","JBR","MNO","JPU","MTR","BPP","KPG","PLU"},Database!$W$4:$W$1048576,"=1",Database!$F$4:$F$1048576,"Apotek")),IF($I$5="Rumah Sakit",SUM(SUMIFS(Database!$W$4:$W$1048576,Database!$B$4:$B$1048576,$I$3,Database!$D$4:$D$1048576,{"SB1","SB2","BMS","MKS","DPS","KDR","MLG","SMD","PTK","JBR","MNO","JPU","MTR","BPP","KPG","PLU"},Database!$W$4:$W$1048576,"=1",Database!$F$4:$F$1048576,"Rumah sakit")),IF($I$5="Subdis",SUM(SUMIFS(Database!$W$4:$W$1048576,Database!$B$4:$B$1048576,$I$3,Database!$D$4:$D$1048576,{"SB1","SB2","BMS","MKS","DPS","KDR","MLG","SMD","PTK","JBR","MNO","JPU","MTR","BPP","KPG","PLU"},Database!$W$4:$W$1048576,"=1",Database!$F$4:$F$1048576,"Subdis")),0)))))))/$B$8</f>
        <v>0</v>
      </c>
      <c r="C25" s="23">
        <f>IF($I$4="Barat",IF($I$5="All",SUM(SUMIFS(Database!$W$4:$W$1048576,Database!$B$4:$B$1048576,$I$3,Database!$D$4:$D$1048576,{"JK2","MDN","TGR","PKB","PLB","BDL","PMS","PDG","BTM","BAC","JBI","PKP","BKL","LSE","PJT"},Database!$W$4:$W$1048576,"=2")),IF($I$5="Apotek",SUM(SUMIFS(Database!$W$4:$W$1048576,Database!$B$4:$B$1048576,$I$3,Database!$D$4:$D$1048576,{"JK2","MDN","TGR","PKB","PLB","BDL","PMS","PDG","BTM","BAC","JBI","PKP","BKL","LSE","PJT"},Database!$W$4:$W$1048576,"=2",Database!$F$4:$F$1048576,"Apotek")),IF($I$5="Rumah Sakit",SUM(SUMIFS(Database!$W$4:$W$1048576,Database!$B$4:$B$1048576,$I$3,Database!$D$4:$D$1048576,{"JK2","MDN","TGR","PKB","PLB","BDL","PMS","PDG","BTM","BAC","JBI","PKP","BKL","LSE","PJT"},Database!$W$4:$W$1048576,"=2",Database!$F$4:$F$1048576,"Rumah sakit")),IF($I$5="Subdis",SUM(SUMIFS(Database!$W$4:$W$1048576,Database!$B$4:$B$1048576,$I$3,Database!$D$4:$D$1048576,{"JK2","MDN","TGR","PKB","PLB","BDL","PMS","PDG","BTM","BAC","JBI","PKP","BKL","LSE","PJT"},Database!$W$4:$W$1048576,"=2",Database!$F$4:$F$1048576,"Subdis")),0)))),IF($I$4="Tengah",IF($I$5="All",SUM(SUMIFS(Database!$W$4:$W$1048576,Database!$B$4:$B$1048576,$I$3,Database!$D$4:$D$1048576,{"JK1","JK3","BDG","SMG","BGR","YOG","SLO","CRB","PWK","BKS","KDS","TGL","TSK","SKI","BD2"},Database!$W$4:$W$1048576,"=2")),IF($I$5="Apotek",SUM(SUMIFS(Database!$W$4:$W$1048576,Database!$B$4:$B$1048576,$I$3,Database!$D$4:$D$1048576,{"JK1","JK3","BDG","SMG","BGR","YOG","SLO","CRB","PWK","BKS","KDS","TGL","TSK","SKI","BD2"},Database!$W$4:$W$1048576,"=2",Database!$F$4:$F$1048576,"Apotek")),IF($I$5="Rumah Sakit",SUM(SUMIFS(Database!$W$4:$W$1048576,Database!$B$4:$B$1048576,$I$3,Database!$D$4:$D$1048576,{"JK1","JK3","BDG","SMG","BGR","YOG","SLO","CRB","PWK","BKS","KDS","TGL","TSK","SKI","BD2"},Database!$W$4:$W$1048576,"=2",Database!$F$4:$F$1048576,"Rumah sakit")),IF($I$5="Subdis",SUM(SUMIFS(Database!$W$4:$W$1048576,Database!$B$4:$B$1048576,$I$3,Database!$D$4:$D$1048576,{"JK1","JK3","BDG","SMG","BGR","YOG","SLO","CRB","PWK","BKS","KDS","TGL","TSK","SKI","BD2"},Database!$W$4:$W$1048576,"=2",Database!$F$4:$F$1048576,"Subdis")),0)))),IF($I$4="Timur",IF($I$5="All",SUM(SUMIFS(Database!$W$4:$W$1048576,Database!$B$4:$B$1048576,$I$3,Database!$D$4:$D$1048576,{"SB1","SB2","BMS","MKS","DPS","KDR","MLG","SMD","PTK","JBR","MNO","JPU","MTR","BPP","KPG","PLU"},Database!$W$4:$W$1048576,"=2")),IF($I$5="Apotek",SUM(SUMIFS(Database!$W$4:$W$1048576,Database!$B$4:$B$1048576,$I$3,Database!$D$4:$D$1048576,{"SB1","SB2","BMS","MKS","DPS","KDR","MLG","SMD","PTK","JBR","MNO","JPU","MTR","BPP","KPG","PLU"},Database!$W$4:$W$1048576,"=2",Database!$F$4:$F$1048576,"Apotek")),IF($I$5="Rumah Sakit",SUM(SUMIFS(Database!$W$4:$W$1048576,Database!$B$4:$B$1048576,$I$3,Database!$D$4:$D$1048576,{"SB1","SB2","BMS","MKS","DPS","KDR","MLG","SMD","PTK","JBR","MNO","JPU","MTR","BPP","KPG","PLU"},Database!$W$4:$W$1048576,"=2",Database!$F$4:$F$1048576,"Rumah sakit")),IF($I$5="Subdis",SUM(SUMIFS(Database!$W$4:$W$1048576,Database!$B$4:$B$1048576,$I$3,Database!$D$4:$D$1048576,{"SB1","SB2","BMS","MKS","DPS","KDR","MLG","SMD","PTK","JBR","MNO","JPU","MTR","BPP","KPG","PLU"},Database!$W$4:$W$1048576,"=2",Database!$F$4:$F$1048576,"Subdis")),0)))))))/$C$8</f>
        <v>0</v>
      </c>
      <c r="D25" s="23">
        <f>IF($I$4="Barat",IF($I$5="All",SUM(SUMIFS(Database!$W$4:$W$1048576,Database!$B$4:$B$1048576,$I$3,Database!$D$4:$D$1048576,{"JK2","MDN","TGR","PKB","PLB","BDL","PMS","PDG","BTM","BAC","JBI","PKP","BKL","LSE","PJT"},Database!$W$4:$W$1048576,"=3")),IF($I$5="Apotek",SUM(SUMIFS(Database!$W$4:$W$1048576,Database!$B$4:$B$1048576,$I$3,Database!$D$4:$D$1048576,{"JK2","MDN","TGR","PKB","PLB","BDL","PMS","PDG","BTM","BAC","JBI","PKP","BKL","LSE","PJT"},Database!$W$4:$W$1048576,"=3",Database!$F$4:$F$1048576,"Apotek")),IF($I$5="Rumah Sakit",SUM(SUMIFS(Database!$W$4:$W$1048576,Database!$B$4:$B$1048576,$I$3,Database!$D$4:$D$1048576,{"JK2","MDN","TGR","PKB","PLB","BDL","PMS","PDG","BTM","BAC","JBI","PKP","BKL","LSE","PJT"},Database!$W$4:$W$1048576,"=3",Database!$F$4:$F$1048576,"Rumah sakit")),IF($I$5="Subdis",SUM(SUMIFS(Database!$W$4:$W$1048576,Database!$B$4:$B$1048576,$I$3,Database!$D$4:$D$1048576,{"JK2","MDN","TGR","PKB","PLB","BDL","PMS","PDG","BTM","BAC","JBI","PKP","BKL","LSE","PJT"},Database!$W$4:$W$1048576,"=3",Database!$F$4:$F$1048576,"Subdis")),0)))),IF($I$4="Tengah",IF($I$5="All",SUM(SUMIFS(Database!$W$4:$W$1048576,Database!$B$4:$B$1048576,$I$3,Database!$D$4:$D$1048576,{"JK1","JK3","BDG","SMG","BGR","YOG","SLO","CRB","PWK","BKS","KDS","TGL","TSK","SKI","BD2"},Database!$W$4:$W$1048576,"=3")),IF($I$5="Apotek",SUM(SUMIFS(Database!$W$4:$W$1048576,Database!$B$4:$B$1048576,$I$3,Database!$D$4:$D$1048576,{"JK1","JK3","BDG","SMG","BGR","YOG","SLO","CRB","PWK","BKS","KDS","TGL","TSK","SKI","BD2"},Database!$W$4:$W$1048576,"=3",Database!$F$4:$F$1048576,"Apotek")),IF($I$5="Rumah Sakit",SUM(SUMIFS(Database!$W$4:$W$1048576,Database!$B$4:$B$1048576,$I$3,Database!$D$4:$D$1048576,{"JK1","JK3","BDG","SMG","BGR","YOG","SLO","CRB","PWK","BKS","KDS","TGL","TSK","SKI","BD2"},Database!$W$4:$W$1048576,"=3",Database!$F$4:$F$1048576,"Rumah sakit")),IF($I$5="Subdis",SUM(SUMIFS(Database!$W$4:$W$1048576,Database!$B$4:$B$1048576,$I$3,Database!$D$4:$D$1048576,{"JK1","JK3","BDG","SMG","BGR","YOG","SLO","CRB","PWK","BKS","KDS","TGL","TSK","SKI","BD2"},Database!$W$4:$W$1048576,"=3",Database!$F$4:$F$1048576,"Subdis")),0)))),IF($I$4="Timur",IF($I$5="All",SUM(SUMIFS(Database!$W$4:$W$1048576,Database!$B$4:$B$1048576,$I$3,Database!$D$4:$D$1048576,{"SB1","SB2","BMS","MKS","DPS","KDR","MLG","SMD","PTK","JBR","MNO","JPU","MTR","BPP","KPG","PLU"},Database!$W$4:$W$1048576,"=3")),IF($I$5="Apotek",SUM(SUMIFS(Database!$W$4:$W$1048576,Database!$B$4:$B$1048576,$I$3,Database!$D$4:$D$1048576,{"SB1","SB2","BMS","MKS","DPS","KDR","MLG","SMD","PTK","JBR","MNO","JPU","MTR","BPP","KPG","PLU"},Database!$W$4:$W$1048576,"=3",Database!$F$4:$F$1048576,"Apotek")),IF($I$5="Rumah Sakit",SUM(SUMIFS(Database!$W$4:$W$1048576,Database!$B$4:$B$1048576,$I$3,Database!$D$4:$D$1048576,{"SB1","SB2","BMS","MKS","DPS","KDR","MLG","SMD","PTK","JBR","MNO","JPU","MTR","BPP","KPG","PLU"},Database!$W$4:$W$1048576,"=3",Database!$F$4:$F$1048576,"Rumah sakit")),IF($I$5="Subdis",SUM(SUMIFS(Database!$W$4:$W$1048576,Database!$B$4:$B$1048576,$I$3,Database!$D$4:$D$1048576,{"SB1","SB2","BMS","MKS","DPS","KDR","MLG","SMD","PTK","JBR","MNO","JPU","MTR","BPP","KPG","PLU"},Database!$W$4:$W$1048576,"=3",Database!$F$4:$F$1048576,"Subdis")),0)))))))/$D$8</f>
        <v>0</v>
      </c>
      <c r="E25" s="23">
        <f>IF($I$4="Barat",IF($I$5="All",SUM(SUMIFS(Database!$W$4:$W$1048576,Database!$B$4:$B$1048576,$I$3,Database!$D$4:$D$1048576,{"JK2","MDN","TGR","PKB","PLB","BDL","PMS","PDG","BTM","BAC","JBI","PKP","BKL","LSE","PJT"},Database!$W$4:$W$1048576,"=4")),IF($I$5="Apotek",SUM(SUMIFS(Database!$W$4:$W$1048576,Database!$B$4:$B$1048576,$I$3,Database!$D$4:$D$1048576,{"JK2","MDN","TGR","PKB","PLB","BDL","PMS","PDG","BTM","BAC","JBI","PKP","BKL","LSE","PJT"},Database!$W$4:$W$1048576,"=4",Database!$F$4:$F$1048576,"Apotek")),IF($I$5="Rumah Sakit",SUM(SUMIFS(Database!$W$4:$W$1048576,Database!$B$4:$B$1048576,$I$3,Database!$D$4:$D$1048576,{"JK2","MDN","TGR","PKB","PLB","BDL","PMS","PDG","BTM","BAC","JBI","PKP","BKL","LSE","PJT"},Database!$W$4:$W$1048576,"=4",Database!$F$4:$F$1048576,"Rumah sakit")),IF($I$5="Subdis",SUM(SUMIFS(Database!$W$4:$W$1048576,Database!$B$4:$B$1048576,$I$3,Database!$D$4:$D$1048576,{"JK2","MDN","TGR","PKB","PLB","BDL","PMS","PDG","BTM","BAC","JBI","PKP","BKL","LSE","PJT"},Database!$W$4:$W$1048576,"=4",Database!$F$4:$F$1048576,"Subdis")),0)))),IF($I$4="Tengah",IF($I$5="All",SUM(SUMIFS(Database!$W$4:$W$1048576,Database!$B$4:$B$1048576,$I$3,Database!$D$4:$D$1048576,{"JK1","JK3","BDG","SMG","BGR","YOG","SLO","CRB","PWK","BKS","KDS","TGL","TSK","SKI","BD2"},Database!$W$4:$W$1048576,"=4")),IF($I$5="Apotek",SUM(SUMIFS(Database!$W$4:$W$1048576,Database!$B$4:$B$1048576,$I$3,Database!$D$4:$D$1048576,{"JK1","JK3","BDG","SMG","BGR","YOG","SLO","CRB","PWK","BKS","KDS","TGL","TSK","SKI","BD2"},Database!$W$4:$W$1048576,"=4",Database!$F$4:$F$1048576,"Apotek")),IF($I$5="Rumah Sakit",SUM(SUMIFS(Database!$W$4:$W$1048576,Database!$B$4:$B$1048576,$I$3,Database!$D$4:$D$1048576,{"JK1","JK3","BDG","SMG","BGR","YOG","SLO","CRB","PWK","BKS","KDS","TGL","TSK","SKI","BD2"},Database!$W$4:$W$1048576,"=4",Database!$F$4:$F$1048576,"Rumah sakit")),IF($I$5="Subdis",SUM(SUMIFS(Database!$W$4:$W$1048576,Database!$B$4:$B$1048576,$I$3,Database!$D$4:$D$1048576,{"JK1","JK3","BDG","SMG","BGR","YOG","SLO","CRB","PWK","BKS","KDS","TGL","TSK","SKI","BD2"},Database!$W$4:$W$1048576,"=4",Database!$F$4:$F$1048576,"Subdis")),0)))),IF($I$4="Timur",IF($I$5="All",SUM(SUMIFS(Database!$W$4:$W$1048576,Database!$B$4:$B$1048576,$I$3,Database!$D$4:$D$1048576,{"SB1","SB2","BMS","MKS","DPS","KDR","MLG","SMD","PTK","JBR","MNO","JPU","MTR","BPP","KPG","PLU"},Database!$W$4:$W$1048576,"=4")),IF($I$5="Apotek",SUM(SUMIFS(Database!$W$4:$W$1048576,Database!$B$4:$B$1048576,$I$3,Database!$D$4:$D$1048576,{"SB1","SB2","BMS","MKS","DPS","KDR","MLG","SMD","PTK","JBR","MNO","JPU","MTR","BPP","KPG","PLU"},Database!$W$4:$W$1048576,"=4",Database!$F$4:$F$1048576,"Apotek")),IF($I$5="Rumah Sakit",SUM(SUMIFS(Database!$W$4:$W$1048576,Database!$B$4:$B$1048576,$I$3,Database!$D$4:$D$1048576,{"SB1","SB2","BMS","MKS","DPS","KDR","MLG","SMD","PTK","JBR","MNO","JPU","MTR","BPP","KPG","PLU"},Database!$W$4:$W$1048576,"=4",Database!$F$4:$F$1048576,"Rumah sakit")),IF($I$5="Subdis",SUM(SUMIFS(Database!$W$4:$W$1048576,Database!$B$4:$B$1048576,$I$3,Database!$D$4:$D$1048576,{"SB1","SB2","BMS","MKS","DPS","KDR","MLG","SMD","PTK","JBR","MNO","JPU","MTR","BPP","KPG","PLU"},Database!$W$4:$W$1048576,"=4",Database!$F$4:$F$1048576,"Subdis")),0)))))))/$E$8</f>
        <v>0</v>
      </c>
      <c r="F25" s="9">
        <f t="shared" si="0"/>
        <v>0</v>
      </c>
      <c r="G25" s="10" t="e">
        <f t="shared" si="10"/>
        <v>#DIV/0!</v>
      </c>
      <c r="H25" s="23">
        <f>IF($I$4="Barat",IF($I$5="All",SUM(SUMIFS(Database!$AX$4:$AX$1048576,Database!$AC$4:$AC$1048576,$I$3,Database!$AE$4:$AE$1048576,{"JK2","MDN","TGR","PKB","PLB","BDL","PMS","PDG","BTM","BAC","JBI","PKP","BKL","LSE","PJT"},Database!$AX$4:$AX$1048576,"=1")),IF($I$5="Apotek",SUM(SUMIFS(Database!$AX$4:$AX$1048576,Database!$AC$4:$AC$1048576,$I$3,Database!$AE$4:$AE$1048576,{"JK2","MDN","TGR","PKB","PLB","BDL","PMS","PDG","BTM","BAC","JBI","PKP","BKL","LSE","PJT"},Database!$AX$4:$AX$1048576,"=1",Database!$AG$4:$AG$1048576,"Apotek")),IF($I$5="Rumah Sakit",SUM(SUMIFS(Database!$AX$4:$AX$1048576,Database!$AC$4:$AC$1048576,$I$3,Database!$AE$4:$AE$1048576,{"JK2","MDN","TGR","PKB","PLB","BDL","PMS","PDG","BTM","BAC","JBI","PKP","BKL","LSE","PJT"},Database!$AX$4:$AX$1048576,"=1",Database!$AG$4:$AG$1048576,"Rumah sakit")),IF($I$5="Subdis",SUM(SUMIFS(Database!$AX$4:$AX$1048576,Database!$AC$4:$AC$1048576,$I$3,Database!$AE$4:$AE$1048576,{"JK2","MDN","TGR","PKB","PLB","BDL","PMS","PDG","BTM","BAC","JBI","PKP","BKL","LSE","PJT"},Database!$AX$4:$AX$1048576,"=1",Database!$AG$4:$AG$1048576,"Subdis")),0)))),IF($I$4="Tengah",IF($I$5="All",SUM(SUMIFS(Database!$AX$4:$AX$1048576,Database!$AC$4:$AC$1048576,$I$3,Database!$AE$4:$AE$1048576,{"JK1","JK3","BDG","SMG","BGR","YOG","SLO","CRB","PWK","BKS","KDS","TGL","TSK","SKI","BD2"},Database!$AX$4:$AX$1048576,"=1")),IF($I$5="Apotek",SUM(SUMIFS(Database!$AX$4:$AX$1048576,Database!$AC$4:$AC$1048576,$I$3,Database!$AE$4:$AE$1048576,{"JK1","JK3","BDG","SMG","BGR","YOG","SLO","CRB","PWK","BKS","KDS","TGL","TSK","SKI","BD2"},Database!$AX$4:$AX$1048576,"=1",Database!$AG$4:$AG$1048576,"Apotek")),IF($I$5="Rumah Sakit",SUM(SUMIFS(Database!$AX$4:$AX$1048576,Database!$AC$4:$AC$1048576,$I$3,Database!$AE$4:$AE$1048576,{"JK1","JK3","BDG","SMG","BGR","YOG","SLO","CRB","PWK","BKS","KDS","TGL","TSK","SKI","BD2"},Database!$AX$4:$AX$1048576,"=1",Database!$AG$4:$AG$1048576,"Rumah sakit")),IF($I$5="Subdis",SUM(SUMIFS(Database!$AX$4:$AX$1048576,Database!$AC$4:$AC$1048576,$I$3,Database!$AE$4:$AE$1048576,{"JK1","JK3","BDG","SMG","BGR","YOG","SLO","CRB","PWK","BKS","KDS","TGL","TSK","SKI","BD2"},Database!$AX$4:$AX$1048576,"=1",Database!$AG$4:$AG$1048576,"Subdis")),0)))),IF($I$4="Timur",IF($I$5="All",SUM(SUMIFS(Database!$AX$4:$AX$1048576,Database!$AC$4:$AC$1048576,$I$3,Database!$AE$4:$AE$1048576,{"SB1","SB2","BMS","MKS","DPS","KDR","MLG","SMD","PTK","JBR","MNO","JPU","MTR","BPP","KPG","PLU"},Database!$AX$4:$AX$1048576,"=1")),IF($I$5="Apotek",SUM(SUMIFS(Database!$AX$4:$AX$1048576,Database!$AC$4:$AC$1048576,$I$3,Database!$AE$4:$AE$1048576,{"SB1","SB2","BMS","MKS","DPS","KDR","MLG","SMD","PTK","JBR","MNO","JPU","MTR","BPP","KPG","PLU"},Database!$AX$4:$AX$1048576,"=1",Database!$AG$4:$AG$1048576,"Apotek")),IF($I$5="Rumah Sakit",SUM(SUMIFS(Database!$AX$4:$AX$1048576,Database!$AC$4:$AC$1048576,$I$3,Database!$AE$4:$AE$1048576,{"SB1","SB2","BMS","MKS","DPS","KDR","MLG","SMD","PTK","JBR","MNO","JPU","MTR","BPP","KPG","PLU"},Database!$AX$4:$AX$1048576,"=1",Database!$AG$4:$AG$1048576,"Rumah sakit")),IF($I$5="Subdis",SUM(SUMIFS(Database!$AX$4:$AX$1048576,Database!$AC$4:$AC$1048576,$I$3,Database!$AE$4:$AE$1048576,{"SB1","SB2","BMS","MKS","DPS","KDR","MLG","SMD","PTK","JBR","MNO","JPU","MTR","BPP","KPG","PLU"},Database!$AX$4:$AX$1048576,"=1",Database!$AG$4:$AG$1048576,"Subdis")),0)))))))/$B$8</f>
        <v>0</v>
      </c>
      <c r="I25" s="23">
        <f>IF($I$4="Barat",IF($I$5="All",SUM(SUMIFS(Database!$AX$4:$AX$1048576,Database!$AC$4:$AC$1048576,$I$3,Database!$AE$4:$AE$1048576,{"JK2","MDN","TGR","PKB","PLB","BDL","PMS","PDG","BTM","BAC","JBI","PKP","BKL","LSE","PJT"},Database!$AX$4:$AX$1048576,"=2")),IF($I$5="Apotek",SUM(SUMIFS(Database!$AX$4:$AX$1048576,Database!$AC$4:$AC$1048576,$I$3,Database!$AE$4:$AE$1048576,{"JK2","MDN","TGR","PKB","PLB","BDL","PMS","PDG","BTM","BAC","JBI","PKP","BKL","LSE","PJT"},Database!$AX$4:$AX$1048576,"=2",Database!$AG$4:$AG$1048576,"Apotek")),IF($I$5="Rumah Sakit",SUM(SUMIFS(Database!$AX$4:$AX$1048576,Database!$AC$4:$AC$1048576,$I$3,Database!$AE$4:$AE$1048576,{"JK2","MDN","TGR","PKB","PLB","BDL","PMS","PDG","BTM","BAC","JBI","PKP","BKL","LSE","PJT"},Database!$AX$4:$AX$1048576,"=2",Database!$AG$4:$AG$1048576,"Rumah sakit")),IF($I$5="Subdis",SUM(SUMIFS(Database!$AX$4:$AX$1048576,Database!$AC$4:$AC$1048576,$I$3,Database!$AE$4:$AE$1048576,{"JK2","MDN","TGR","PKB","PLB","BDL","PMS","PDG","BTM","BAC","JBI","PKP","BKL","LSE","PJT"},Database!$AX$4:$AX$1048576,"=2",Database!$AG$4:$AG$1048576,"Subdis")),0)))),IF($I$4="Tengah",IF($I$5="All",SUM(SUMIFS(Database!$AX$4:$AX$1048576,Database!$AC$4:$AC$1048576,$I$3,Database!$AE$4:$AE$1048576,{"JK1","JK3","BDG","SMG","BGR","YOG","SLO","CRB","PWK","BKS","KDS","TGL","TSK","SKI","BD2"},Database!$AX$4:$AX$1048576,"=2")),IF($I$5="Apotek",SUM(SUMIFS(Database!$AX$4:$AX$1048576,Database!$AC$4:$AC$1048576,$I$3,Database!$AE$4:$AE$1048576,{"JK1","JK3","BDG","SMG","BGR","YOG","SLO","CRB","PWK","BKS","KDS","TGL","TSK","SKI","BD2"},Database!$AX$4:$AX$1048576,"=2",Database!$AG$4:$AG$1048576,"Apotek")),IF($I$5="Rumah Sakit",SUM(SUMIFS(Database!$AX$4:$AX$1048576,Database!$AC$4:$AC$1048576,$I$3,Database!$AE$4:$AE$1048576,{"JK1","JK3","BDG","SMG","BGR","YOG","SLO","CRB","PWK","BKS","KDS","TGL","TSK","SKI","BD2"},Database!$AX$4:$AX$1048576,"=2",Database!$AG$4:$AG$1048576,"Rumah sakit")),IF($I$5="Subdis",SUM(SUMIFS(Database!$AX$4:$AX$1048576,Database!$AC$4:$AC$1048576,$I$3,Database!$AE$4:$AE$1048576,{"JK1","JK3","BDG","SMG","BGR","YOG","SLO","CRB","PWK","BKS","KDS","TGL","TSK","SKI","BD2"},Database!$AX$4:$AX$1048576,"=2",Database!$AG$4:$AG$1048576,"Subdis")),0)))),IF($I$4="Timur",IF($I$5="All",SUM(SUMIFS(Database!$AX$4:$AX$1048576,Database!$AC$4:$AC$1048576,$I$3,Database!$AE$4:$AE$1048576,{"SB1","SB2","BMS","MKS","DPS","KDR","MLG","SMD","PTK","JBR","MNO","JPU","MTR","BPP","KPG","PLU"},Database!$AX$4:$AX$1048576,"=2")),IF($I$5="Apotek",SUM(SUMIFS(Database!$AX$4:$AX$1048576,Database!$AC$4:$AC$1048576,$I$3,Database!$AE$4:$AE$1048576,{"SB1","SB2","BMS","MKS","DPS","KDR","MLG","SMD","PTK","JBR","MNO","JPU","MTR","BPP","KPG","PLU"},Database!$AX$4:$AX$1048576,"=2",Database!$AG$4:$AG$1048576,"Apotek")),IF($I$5="Rumah Sakit",SUM(SUMIFS(Database!$AX$4:$AX$1048576,Database!$AC$4:$AC$1048576,$I$3,Database!$AE$4:$AE$1048576,{"SB1","SB2","BMS","MKS","DPS","KDR","MLG","SMD","PTK","JBR","MNO","JPU","MTR","BPP","KPG","PLU"},Database!$AX$4:$AX$1048576,"=2",Database!$AG$4:$AG$1048576,"Rumah sakit")),IF($I$5="Subdis",SUM(SUMIFS(Database!$AX$4:$AX$1048576,Database!$AC$4:$AC$1048576,$I$3,Database!$AE$4:$AE$1048576,{"SB1","SB2","BMS","MKS","DPS","KDR","MLG","SMD","PTK","JBR","MNO","JPU","MTR","BPP","KPG","PLU"},Database!$AX$4:$AX$1048576,"=2",Database!$AG$4:$AG$1048576,"Subdis")),0)))))))/$C$8</f>
        <v>0</v>
      </c>
      <c r="J25" s="23">
        <f>IF($I$4="Barat",IF($I$5="All",SUM(SUMIFS(Database!$AX$4:$AX$1048576,Database!$AC$4:$AC$1048576,$I$3,Database!$AE$4:$AE$1048576,{"JK2","MDN","TGR","PKB","PLB","BDL","PMS","PDG","BTM","BAC","JBI","PKP","BKL","LSE","PJT"},Database!$AX$4:$AX$1048576,"=3")),IF($I$5="Apotek",SUM(SUMIFS(Database!$AX$4:$AX$1048576,Database!$AC$4:$AC$1048576,$I$3,Database!$AE$4:$AE$1048576,{"JK2","MDN","TGR","PKB","PLB","BDL","PMS","PDG","BTM","BAC","JBI","PKP","BKL","LSE","PJT"},Database!$AX$4:$AX$1048576,"=3",Database!$AG$4:$AG$1048576,"Apotek")),IF($I$5="Rumah Sakit",SUM(SUMIFS(Database!$AX$4:$AX$1048576,Database!$AC$4:$AC$1048576,$I$3,Database!$AE$4:$AE$1048576,{"JK2","MDN","TGR","PKB","PLB","BDL","PMS","PDG","BTM","BAC","JBI","PKP","BKL","LSE","PJT"},Database!$AX$4:$AX$1048576,"=3",Database!$AG$4:$AG$1048576,"Rumah sakit")),IF($I$5="Subdis",SUM(SUMIFS(Database!$AX$4:$AX$1048576,Database!$AC$4:$AC$1048576,$I$3,Database!$AE$4:$AE$1048576,{"JK2","MDN","TGR","PKB","PLB","BDL","PMS","PDG","BTM","BAC","JBI","PKP","BKL","LSE","PJT"},Database!$AX$4:$AX$1048576,"=3",Database!$AG$4:$AG$1048576,"Subdis")),0)))),IF($I$4="Tengah",IF($I$5="All",SUM(SUMIFS(Database!$AX$4:$AX$1048576,Database!$AC$4:$AC$1048576,$I$3,Database!$AE$4:$AE$1048576,{"JK1","JK3","BDG","SMG","BGR","YOG","SLO","CRB","PWK","BKS","KDS","TGL","TSK","SKI","BD2"},Database!$AX$4:$AX$1048576,"=3")),IF($I$5="Apotek",SUM(SUMIFS(Database!$AX$4:$AX$1048576,Database!$AC$4:$AC$1048576,$I$3,Database!$AE$4:$AE$1048576,{"JK1","JK3","BDG","SMG","BGR","YOG","SLO","CRB","PWK","BKS","KDS","TGL","TSK","SKI","BD2"},Database!$AX$4:$AX$1048576,"=3",Database!$AG$4:$AG$1048576,"Apotek")),IF($I$5="Rumah Sakit",SUM(SUMIFS(Database!$AX$4:$AX$1048576,Database!$AC$4:$AC$1048576,$I$3,Database!$AE$4:$AE$1048576,{"JK1","JK3","BDG","SMG","BGR","YOG","SLO","CRB","PWK","BKS","KDS","TGL","TSK","SKI","BD2"},Database!$AX$4:$AX$1048576,"=3",Database!$AG$4:$AG$1048576,"Rumah sakit")),IF($I$5="Subdis",SUM(SUMIFS(Database!$AX$4:$AX$1048576,Database!$AC$4:$AC$1048576,$I$3,Database!$AE$4:$AE$1048576,{"JK1","JK3","BDG","SMG","BGR","YOG","SLO","CRB","PWK","BKS","KDS","TGL","TSK","SKI","BD2"},Database!$AX$4:$AX$1048576,"=3",Database!$AG$4:$AG$1048576,"Subdis")),0)))),IF($I$4="Timur",IF($I$5="All",SUM(SUMIFS(Database!$AX$4:$AX$1048576,Database!$AC$4:$AC$1048576,$I$3,Database!$AE$4:$AE$1048576,{"SB1","SB2","BMS","MKS","DPS","KDR","MLG","SMD","PTK","JBR","MNO","JPU","MTR","BPP","KPG","PLU"},Database!$AX$4:$AX$1048576,"=3")),IF($I$5="Apotek",SUM(SUMIFS(Database!$AX$4:$AX$1048576,Database!$AC$4:$AC$1048576,$I$3,Database!$AE$4:$AE$1048576,{"SB1","SB2","BMS","MKS","DPS","KDR","MLG","SMD","PTK","JBR","MNO","JPU","MTR","BPP","KPG","PLU"},Database!$AX$4:$AX$1048576,"=3",Database!$AG$4:$AG$1048576,"Apotek")),IF($I$5="Rumah Sakit",SUM(SUMIFS(Database!$AX$4:$AX$1048576,Database!$AC$4:$AC$1048576,$I$3,Database!$AE$4:$AE$1048576,{"SB1","SB2","BMS","MKS","DPS","KDR","MLG","SMD","PTK","JBR","MNO","JPU","MTR","BPP","KPG","PLU"},Database!$AX$4:$AX$1048576,"=3",Database!$AG$4:$AG$1048576,"Rumah sakit")),IF($I$5="Subdis",SUM(SUMIFS(Database!$AX$4:$AX$1048576,Database!$AC$4:$AC$1048576,$I$3,Database!$AE$4:$AE$1048576,{"SB1","SB2","BMS","MKS","DPS","KDR","MLG","SMD","PTK","JBR","MNO","JPU","MTR","BPP","KPG","PLU"},Database!$AX$4:$AX$1048576,"=3",Database!$AG$4:$AG$1048576,"Subdis")),0)))))))/$D$8</f>
        <v>0</v>
      </c>
      <c r="K25" s="23">
        <f>IF($I$4="Barat",IF($I$5="All",SUM(SUMIFS(Database!$AX$4:$AX$1048576,Database!$AC$4:$AC$1048576,$I$3,Database!$AE$4:$AE$1048576,{"JK2","MDN","TGR","PKB","PLB","BDL","PMS","PDG","BTM","BAC","JBI","PKP","BKL","LSE","PJT"},Database!$AX$4:$AX$1048576,"=4")),IF($I$5="Apotek",SUM(SUMIFS(Database!$AX$4:$AX$1048576,Database!$AC$4:$AC$1048576,$I$3,Database!$AE$4:$AE$1048576,{"JK2","MDN","TGR","PKB","PLB","BDL","PMS","PDG","BTM","BAC","JBI","PKP","BKL","LSE","PJT"},Database!$AX$4:$AX$1048576,"=4",Database!$AG$4:$AG$1048576,"Apotek")),IF($I$5="Rumah Sakit",SUM(SUMIFS(Database!$AX$4:$AX$1048576,Database!$AC$4:$AC$1048576,$I$3,Database!$AE$4:$AE$1048576,{"JK2","MDN","TGR","PKB","PLB","BDL","PMS","PDG","BTM","BAC","JBI","PKP","BKL","LSE","PJT"},Database!$AX$4:$AX$1048576,"=4",Database!$AG$4:$AG$1048576,"Rumah sakit")),IF($I$5="Subdis",SUM(SUMIFS(Database!$AX$4:$AX$1048576,Database!$AC$4:$AC$1048576,$I$3,Database!$AE$4:$AE$1048576,{"JK2","MDN","TGR","PKB","PLB","BDL","PMS","PDG","BTM","BAC","JBI","PKP","BKL","LSE","PJT"},Database!$AX$4:$AX$1048576,"=4",Database!$AG$4:$AG$1048576,"Subdis")),0)))),IF($I$4="Tengah",IF($I$5="All",SUM(SUMIFS(Database!$AX$4:$AX$1048576,Database!$AC$4:$AC$1048576,$I$3,Database!$AE$4:$AE$1048576,{"JK1","JK3","BDG","SMG","BGR","YOG","SLO","CRB","PWK","BKS","KDS","TGL","TSK","SKI","BD2"},Database!$AX$4:$AX$1048576,"=4")),IF($I$5="Apotek",SUM(SUMIFS(Database!$AX$4:$AX$1048576,Database!$AC$4:$AC$1048576,$I$3,Database!$AE$4:$AE$1048576,{"JK1","JK3","BDG","SMG","BGR","YOG","SLO","CRB","PWK","BKS","KDS","TGL","TSK","SKI","BD2"},Database!$AX$4:$AX$1048576,"=4",Database!$AG$4:$AG$1048576,"Apotek")),IF($I$5="Rumah Sakit",SUM(SUMIFS(Database!$AX$4:$AX$1048576,Database!$AC$4:$AC$1048576,$I$3,Database!$AE$4:$AE$1048576,{"JK1","JK3","BDG","SMG","BGR","YOG","SLO","CRB","PWK","BKS","KDS","TGL","TSK","SKI","BD2"},Database!$AX$4:$AX$1048576,"=4",Database!$AG$4:$AG$1048576,"Rumah sakit")),IF($I$5="Subdis",SUM(SUMIFS(Database!$AX$4:$AX$1048576,Database!$AC$4:$AC$1048576,$I$3,Database!$AE$4:$AE$1048576,{"JK1","JK3","BDG","SMG","BGR","YOG","SLO","CRB","PWK","BKS","KDS","TGL","TSK","SKI","BD2"},Database!$AX$4:$AX$1048576,"=4",Database!$AG$4:$AG$1048576,"Subdis")),0)))),IF($I$4="Timur",IF($I$5="All",SUM(SUMIFS(Database!$AX$4:$AX$1048576,Database!$AC$4:$AC$1048576,$I$3,Database!$AE$4:$AE$1048576,{"SB1","SB2","BMS","MKS","DPS","KDR","MLG","SMD","PTK","JBR","MNO","JPU","MTR","BPP","KPG","PLU"},Database!$AX$4:$AX$1048576,"=4")),IF($I$5="Apotek",SUM(SUMIFS(Database!$AX$4:$AX$1048576,Database!$AC$4:$AC$1048576,$I$3,Database!$AE$4:$AE$1048576,{"SB1","SB2","BMS","MKS","DPS","KDR","MLG","SMD","PTK","JBR","MNO","JPU","MTR","BPP","KPG","PLU"},Database!$AX$4:$AX$1048576,"=4",Database!$AG$4:$AG$1048576,"Apotek")),IF($I$5="Rumah Sakit",SUM(SUMIFS(Database!$AX$4:$AX$1048576,Database!$AC$4:$AC$1048576,$I$3,Database!$AE$4:$AE$1048576,{"SB1","SB2","BMS","MKS","DPS","KDR","MLG","SMD","PTK","JBR","MNO","JPU","MTR","BPP","KPG","PLU"},Database!$AX$4:$AX$1048576,"=4",Database!$AG$4:$AG$1048576,"Rumah sakit")),IF($I$5="Subdis",SUM(SUMIFS(Database!$AX$4:$AX$1048576,Database!$AC$4:$AC$1048576,$I$3,Database!$AE$4:$AE$1048576,{"SB1","SB2","BMS","MKS","DPS","KDR","MLG","SMD","PTK","JBR","MNO","JPU","MTR","BPP","KPG","PLU"},Database!$AX$4:$AX$1048576,"=4",Database!$AG$4:$AG$1048576,"Subdis")),0)))))))/$E$8</f>
        <v>0</v>
      </c>
      <c r="L25" s="9">
        <f t="shared" si="1"/>
        <v>0</v>
      </c>
      <c r="M25" s="10" t="e">
        <f t="shared" si="2"/>
        <v>#DIV/0!</v>
      </c>
      <c r="N25" s="10" t="e">
        <f t="shared" si="3"/>
        <v>#DIV/0!</v>
      </c>
      <c r="O25" s="32" t="e">
        <f t="shared" si="4"/>
        <v>#DIV/0!</v>
      </c>
      <c r="P25" s="11" t="s">
        <v>7</v>
      </c>
      <c r="Q25" s="32" t="e">
        <f t="shared" si="18"/>
        <v>#DIV/0!</v>
      </c>
      <c r="R25" s="81" t="e">
        <f t="shared" si="6"/>
        <v>#DIV/0!</v>
      </c>
      <c r="S25" s="81" t="e">
        <f t="shared" si="7"/>
        <v>#DIV/0!</v>
      </c>
      <c r="T25" s="81" t="e">
        <f t="shared" si="19"/>
        <v>#DIV/0!</v>
      </c>
      <c r="U25" s="81" t="e">
        <f t="shared" si="20"/>
        <v>#DIV/0!</v>
      </c>
      <c r="V25" s="253"/>
    </row>
    <row r="26" spans="1:22" ht="18" x14ac:dyDescent="0.35">
      <c r="A26" s="9" t="s">
        <v>31</v>
      </c>
      <c r="B26" s="23">
        <f>IF($I$4="Barat",IF($I$5="All",SUM(SUMIFS(Database!$X$4:$X$1048576,Database!$B$4:$B$1048576,$I$3,Database!$D$4:$D$1048576,{"JK2","MDN","TGR","PKB","PLB","BDL","PMS","PDG","BTM","BAC","JBI","PKP","BKL","LSE","PJT"},Database!$X$4:$X$1048576,"=1")),IF($I$5="Apotek",SUM(SUMIFS(Database!$X$4:$X$1048576,Database!$B$4:$B$1048576,$I$3,Database!$D$4:$D$1048576,{"JK2","MDN","TGR","PKB","PLB","BDL","PMS","PDG","BTM","BAC","JBI","PKP","BKL","LSE","PJT"},Database!$X$4:$X$1048576,"=1",Database!$F$4:$F$1048576,"Apotek")),IF($I$5="Rumah Sakit",SUM(SUMIFS(Database!$X$4:$X$1048576,Database!$B$4:$B$1048576,$I$3,Database!$D$4:$D$1048576,{"JK2","MDN","TGR","PKB","PLB","BDL","PMS","PDG","BTM","BAC","JBI","PKP","BKL","LSE","PJT"},Database!$X$4:$X$1048576,"=1",Database!$F$4:$F$1048576,"Rumah sakit")),IF($I$5="Subdis",SUM(SUMIFS(Database!$X$4:$X$1048576,Database!$B$4:$B$1048576,$I$3,Database!$D$4:$D$1048576,{"JK2","MDN","TGR","PKB","PLB","BDL","PMS","PDG","BTM","BAC","JBI","PKP","BKL","LSE","PJT"},Database!$X$4:$X$1048576,"=1",Database!$F$4:$F$1048576,"Subdis")),0)))),IF($I$4="Tengah",IF($I$5="All",SUM(SUMIFS(Database!$X$4:$X$1048576,Database!$B$4:$B$1048576,$I$3,Database!$D$4:$D$1048576,{"JK1","JK3","BDG","SMG","BGR","YOG","SLO","CRB","PWK","BKS","KDS","TGL","TSK","SKI","BD2"},Database!$X$4:$X$1048576,"=1")),IF($I$5="Apotek",SUM(SUMIFS(Database!$X$4:$X$1048576,Database!$B$4:$B$1048576,$I$3,Database!$D$4:$D$1048576,{"JK1","JK3","BDG","SMG","BGR","YOG","SLO","CRB","PWK","BKS","KDS","TGL","TSK","SKI","BD2"},Database!$X$4:$X$1048576,"=1",Database!$F$4:$F$1048576,"Apotek")),IF($I$5="Rumah Sakit",SUM(SUMIFS(Database!$X$4:$X$1048576,Database!$B$4:$B$1048576,$I$3,Database!$D$4:$D$1048576,{"JK1","JK3","BDG","SMG","BGR","YOG","SLO","CRB","PWK","BKS","KDS","TGL","TSK","SKI","BD2"},Database!$X$4:$X$1048576,"=1",Database!$F$4:$F$1048576,"Rumah sakit")),IF($I$5="Subdis",SUM(SUMIFS(Database!$X$4:$X$1048576,Database!$B$4:$B$1048576,$I$3,Database!$D$4:$D$1048576,{"JK1","JK3","BDG","SMG","BGR","YOG","SLO","CRB","PWK","BKS","KDS","TGL","TSK","SKI","BD2"},Database!$X$4:$X$1048576,"=1",Database!$F$4:$F$1048576,"Subdis")),0)))),IF($I$4="Timur",IF($I$5="All",SUM(SUMIFS(Database!$X$4:$X$1048576,Database!$B$4:$B$1048576,$I$3,Database!$D$4:$D$1048576,{"SB1","SB2","BMS","MKS","DPS","KDR","MLG","SMD","PTK","JBR","MNO","JPU","MTR","BPP","KPG","PLU"},Database!$X$4:$X$1048576,"=1")),IF($I$5="Apotek",SUM(SUMIFS(Database!$X$4:$X$1048576,Database!$B$4:$B$1048576,$I$3,Database!$D$4:$D$1048576,{"SB1","SB2","BMS","MKS","DPS","KDR","MLG","SMD","PTK","JBR","MNO","JPU","MTR","BPP","KPG","PLU"},Database!$X$4:$X$1048576,"=1",Database!$F$4:$F$1048576,"Apotek")),IF($I$5="Rumah Sakit",SUM(SUMIFS(Database!$X$4:$X$1048576,Database!$B$4:$B$1048576,$I$3,Database!$D$4:$D$1048576,{"SB1","SB2","BMS","MKS","DPS","KDR","MLG","SMD","PTK","JBR","MNO","JPU","MTR","BPP","KPG","PLU"},Database!$X$4:$X$1048576,"=1",Database!$F$4:$F$1048576,"Rumah sakit")),IF($I$5="Subdis",SUM(SUMIFS(Database!$X$4:$X$1048576,Database!$B$4:$B$1048576,$I$3,Database!$D$4:$D$1048576,{"SB1","SB2","BMS","MKS","DPS","KDR","MLG","SMD","PTK","JBR","MNO","JPU","MTR","BPP","KPG","PLU"},Database!$X$4:$X$1048576,"=1",Database!$F$4:$F$1048576,"Subdis")),0)))))))/$B$8</f>
        <v>0</v>
      </c>
      <c r="C26" s="23">
        <f>IF($I$4="Barat",IF($I$5="All",SUM(SUMIFS(Database!$X$4:$X$1048576,Database!$B$4:$B$1048576,$I$3,Database!$D$4:$D$1048576,{"JK2","MDN","TGR","PKB","PLB","BDL","PMS","PDG","BTM","BAC","JBI","PKP","BKL","LSE","PJT"},Database!$X$4:$X$1048576,"=2")),IF($I$5="Apotek",SUM(SUMIFS(Database!$X$4:$X$1048576,Database!$B$4:$B$1048576,$I$3,Database!$D$4:$D$1048576,{"JK2","MDN","TGR","PKB","PLB","BDL","PMS","PDG","BTM","BAC","JBI","PKP","BKL","LSE","PJT"},Database!$X$4:$X$1048576,"=2",Database!$F$4:$F$1048576,"Apotek")),IF($I$5="Rumah Sakit",SUM(SUMIFS(Database!$X$4:$X$1048576,Database!$B$4:$B$1048576,$I$3,Database!$D$4:$D$1048576,{"JK2","MDN","TGR","PKB","PLB","BDL","PMS","PDG","BTM","BAC","JBI","PKP","BKL","LSE","PJT"},Database!$X$4:$X$1048576,"=2",Database!$F$4:$F$1048576,"Rumah sakit")),IF($I$5="Subdis",SUM(SUMIFS(Database!$X$4:$X$1048576,Database!$B$4:$B$1048576,$I$3,Database!$D$4:$D$1048576,{"JK2","MDN","TGR","PKB","PLB","BDL","PMS","PDG","BTM","BAC","JBI","PKP","BKL","LSE","PJT"},Database!$X$4:$X$1048576,"=2",Database!$F$4:$F$1048576,"Subdis")),0)))),IF($I$4="Tengah",IF($I$5="All",SUM(SUMIFS(Database!$X$4:$X$1048576,Database!$B$4:$B$1048576,$I$3,Database!$D$4:$D$1048576,{"JK1","JK3","BDG","SMG","BGR","YOG","SLO","CRB","PWK","BKS","KDS","TGL","TSK","SKI","BD2"},Database!$X$4:$X$1048576,"=2")),IF($I$5="Apotek",SUM(SUMIFS(Database!$X$4:$X$1048576,Database!$B$4:$B$1048576,$I$3,Database!$D$4:$D$1048576,{"JK1","JK3","BDG","SMG","BGR","YOG","SLO","CRB","PWK","BKS","KDS","TGL","TSK","SKI","BD2"},Database!$X$4:$X$1048576,"=2",Database!$F$4:$F$1048576,"Apotek")),IF($I$5="Rumah Sakit",SUM(SUMIFS(Database!$X$4:$X$1048576,Database!$B$4:$B$1048576,$I$3,Database!$D$4:$D$1048576,{"JK1","JK3","BDG","SMG","BGR","YOG","SLO","CRB","PWK","BKS","KDS","TGL","TSK","SKI","BD2"},Database!$X$4:$X$1048576,"=2",Database!$F$4:$F$1048576,"Rumah sakit")),IF($I$5="Subdis",SUM(SUMIFS(Database!$X$4:$X$1048576,Database!$B$4:$B$1048576,$I$3,Database!$D$4:$D$1048576,{"JK1","JK3","BDG","SMG","BGR","YOG","SLO","CRB","PWK","BKS","KDS","TGL","TSK","SKI","BD2"},Database!$X$4:$X$1048576,"=2",Database!$F$4:$F$1048576,"Subdis")),0)))),IF($I$4="Timur",IF($I$5="All",SUM(SUMIFS(Database!$X$4:$X$1048576,Database!$B$4:$B$1048576,$I$3,Database!$D$4:$D$1048576,{"SB1","SB2","BMS","MKS","DPS","KDR","MLG","SMD","PTK","JBR","MNO","JPU","MTR","BPP","KPG","PLU"},Database!$X$4:$X$1048576,"=2")),IF($I$5="Apotek",SUM(SUMIFS(Database!$X$4:$X$1048576,Database!$B$4:$B$1048576,$I$3,Database!$D$4:$D$1048576,{"SB1","SB2","BMS","MKS","DPS","KDR","MLG","SMD","PTK","JBR","MNO","JPU","MTR","BPP","KPG","PLU"},Database!$X$4:$X$1048576,"=2",Database!$F$4:$F$1048576,"Apotek")),IF($I$5="Rumah Sakit",SUM(SUMIFS(Database!$X$4:$X$1048576,Database!$B$4:$B$1048576,$I$3,Database!$D$4:$D$1048576,{"SB1","SB2","BMS","MKS","DPS","KDR","MLG","SMD","PTK","JBR","MNO","JPU","MTR","BPP","KPG","PLU"},Database!$X$4:$X$1048576,"=2",Database!$F$4:$F$1048576,"Rumah sakit")),IF($I$5="Subdis",SUM(SUMIFS(Database!$X$4:$X$1048576,Database!$B$4:$B$1048576,$I$3,Database!$D$4:$D$1048576,{"SB1","SB2","BMS","MKS","DPS","KDR","MLG","SMD","PTK","JBR","MNO","JPU","MTR","BPP","KPG","PLU"},Database!$X$4:$X$1048576,"=2",Database!$F$4:$F$1048576,"Subdis")),0)))))))/$C$8</f>
        <v>0</v>
      </c>
      <c r="D26" s="23">
        <f>IF($I$4="Barat",IF($I$5="All",SUM(SUMIFS(Database!$X$4:$X$1048576,Database!$B$4:$B$1048576,$I$3,Database!$D$4:$D$1048576,{"JK2","MDN","TGR","PKB","PLB","BDL","PMS","PDG","BTM","BAC","JBI","PKP","BKL","LSE","PJT"},Database!$X$4:$X$1048576,"=3")),IF($I$5="Apotek",SUM(SUMIFS(Database!$X$4:$X$1048576,Database!$B$4:$B$1048576,$I$3,Database!$D$4:$D$1048576,{"JK2","MDN","TGR","PKB","PLB","BDL","PMS","PDG","BTM","BAC","JBI","PKP","BKL","LSE","PJT"},Database!$X$4:$X$1048576,"=3",Database!$F$4:$F$1048576,"Apotek")),IF($I$5="Rumah Sakit",SUM(SUMIFS(Database!$X$4:$X$1048576,Database!$B$4:$B$1048576,$I$3,Database!$D$4:$D$1048576,{"JK2","MDN","TGR","PKB","PLB","BDL","PMS","PDG","BTM","BAC","JBI","PKP","BKL","LSE","PJT"},Database!$X$4:$X$1048576,"=3",Database!$F$4:$F$1048576,"Rumah sakit")),IF($I$5="Subdis",SUM(SUMIFS(Database!$X$4:$X$1048576,Database!$B$4:$B$1048576,$I$3,Database!$D$4:$D$1048576,{"JK2","MDN","TGR","PKB","PLB","BDL","PMS","PDG","BTM","BAC","JBI","PKP","BKL","LSE","PJT"},Database!$X$4:$X$1048576,"=3",Database!$F$4:$F$1048576,"Subdis")),0)))),IF($I$4="Tengah",IF($I$5="All",SUM(SUMIFS(Database!$X$4:$X$1048576,Database!$B$4:$B$1048576,$I$3,Database!$D$4:$D$1048576,{"JK1","JK3","BDG","SMG","BGR","YOG","SLO","CRB","PWK","BKS","KDS","TGL","TSK","SKI","BD2"},Database!$X$4:$X$1048576,"=3")),IF($I$5="Apotek",SUM(SUMIFS(Database!$X$4:$X$1048576,Database!$B$4:$B$1048576,$I$3,Database!$D$4:$D$1048576,{"JK1","JK3","BDG","SMG","BGR","YOG","SLO","CRB","PWK","BKS","KDS","TGL","TSK","SKI","BD2"},Database!$X$4:$X$1048576,"=3",Database!$F$4:$F$1048576,"Apotek")),IF($I$5="Rumah Sakit",SUM(SUMIFS(Database!$X$4:$X$1048576,Database!$B$4:$B$1048576,$I$3,Database!$D$4:$D$1048576,{"JK1","JK3","BDG","SMG","BGR","YOG","SLO","CRB","PWK","BKS","KDS","TGL","TSK","SKI","BD2"},Database!$X$4:$X$1048576,"=3",Database!$F$4:$F$1048576,"Rumah sakit")),IF($I$5="Subdis",SUM(SUMIFS(Database!$X$4:$X$1048576,Database!$B$4:$B$1048576,$I$3,Database!$D$4:$D$1048576,{"JK1","JK3","BDG","SMG","BGR","YOG","SLO","CRB","PWK","BKS","KDS","TGL","TSK","SKI","BD2"},Database!$X$4:$X$1048576,"=3",Database!$F$4:$F$1048576,"Subdis")),0)))),IF($I$4="Timur",IF($I$5="All",SUM(SUMIFS(Database!$X$4:$X$1048576,Database!$B$4:$B$1048576,$I$3,Database!$D$4:$D$1048576,{"SB1","SB2","BMS","MKS","DPS","KDR","MLG","SMD","PTK","JBR","MNO","JPU","MTR","BPP","KPG","PLU"},Database!$X$4:$X$1048576,"=3")),IF($I$5="Apotek",SUM(SUMIFS(Database!$X$4:$X$1048576,Database!$B$4:$B$1048576,$I$3,Database!$D$4:$D$1048576,{"SB1","SB2","BMS","MKS","DPS","KDR","MLG","SMD","PTK","JBR","MNO","JPU","MTR","BPP","KPG","PLU"},Database!$X$4:$X$1048576,"=3",Database!$F$4:$F$1048576,"Apotek")),IF($I$5="Rumah Sakit",SUM(SUMIFS(Database!$X$4:$X$1048576,Database!$B$4:$B$1048576,$I$3,Database!$D$4:$D$1048576,{"SB1","SB2","BMS","MKS","DPS","KDR","MLG","SMD","PTK","JBR","MNO","JPU","MTR","BPP","KPG","PLU"},Database!$X$4:$X$1048576,"=3",Database!$F$4:$F$1048576,"Rumah sakit")),IF($I$5="Subdis",SUM(SUMIFS(Database!$X$4:$X$1048576,Database!$B$4:$B$1048576,$I$3,Database!$D$4:$D$1048576,{"SB1","SB2","BMS","MKS","DPS","KDR","MLG","SMD","PTK","JBR","MNO","JPU","MTR","BPP","KPG","PLU"},Database!$X$4:$X$1048576,"=3",Database!$F$4:$F$1048576,"Subdis")),0)))))))/$D$8</f>
        <v>0</v>
      </c>
      <c r="E26" s="23">
        <f>IF($I$4="Barat",IF($I$5="All",SUM(SUMIFS(Database!$X$4:$X$1048576,Database!$B$4:$B$1048576,$I$3,Database!$D$4:$D$1048576,{"JK2","MDN","TGR","PKB","PLB","BDL","PMS","PDG","BTM","BAC","JBI","PKP","BKL","LSE","PJT"},Database!$X$4:$X$1048576,"=4")),IF($I$5="Apotek",SUM(SUMIFS(Database!$X$4:$X$1048576,Database!$B$4:$B$1048576,$I$3,Database!$D$4:$D$1048576,{"JK2","MDN","TGR","PKB","PLB","BDL","PMS","PDG","BTM","BAC","JBI","PKP","BKL","LSE","PJT"},Database!$X$4:$X$1048576,"=4",Database!$F$4:$F$1048576,"Apotek")),IF($I$5="Rumah Sakit",SUM(SUMIFS(Database!$X$4:$X$1048576,Database!$B$4:$B$1048576,$I$3,Database!$D$4:$D$1048576,{"JK2","MDN","TGR","PKB","PLB","BDL","PMS","PDG","BTM","BAC","JBI","PKP","BKL","LSE","PJT"},Database!$X$4:$X$1048576,"=4",Database!$F$4:$F$1048576,"Rumah sakit")),IF($I$5="Subdis",SUM(SUMIFS(Database!$X$4:$X$1048576,Database!$B$4:$B$1048576,$I$3,Database!$D$4:$D$1048576,{"JK2","MDN","TGR","PKB","PLB","BDL","PMS","PDG","BTM","BAC","JBI","PKP","BKL","LSE","PJT"},Database!$X$4:$X$1048576,"=4",Database!$F$4:$F$1048576,"Subdis")),0)))),IF($I$4="Tengah",IF($I$5="All",SUM(SUMIFS(Database!$X$4:$X$1048576,Database!$B$4:$B$1048576,$I$3,Database!$D$4:$D$1048576,{"JK1","JK3","BDG","SMG","BGR","YOG","SLO","CRB","PWK","BKS","KDS","TGL","TSK","SKI","BD2"},Database!$X$4:$X$1048576,"=4")),IF($I$5="Apotek",SUM(SUMIFS(Database!$X$4:$X$1048576,Database!$B$4:$B$1048576,$I$3,Database!$D$4:$D$1048576,{"JK1","JK3","BDG","SMG","BGR","YOG","SLO","CRB","PWK","BKS","KDS","TGL","TSK","SKI","BD2"},Database!$X$4:$X$1048576,"=4",Database!$F$4:$F$1048576,"Apotek")),IF($I$5="Rumah Sakit",SUM(SUMIFS(Database!$X$4:$X$1048576,Database!$B$4:$B$1048576,$I$3,Database!$D$4:$D$1048576,{"JK1","JK3","BDG","SMG","BGR","YOG","SLO","CRB","PWK","BKS","KDS","TGL","TSK","SKI","BD2"},Database!$X$4:$X$1048576,"=4",Database!$F$4:$F$1048576,"Rumah sakit")),IF($I$5="Subdis",SUM(SUMIFS(Database!$X$4:$X$1048576,Database!$B$4:$B$1048576,$I$3,Database!$D$4:$D$1048576,{"JK1","JK3","BDG","SMG","BGR","YOG","SLO","CRB","PWK","BKS","KDS","TGL","TSK","SKI","BD2"},Database!$X$4:$X$1048576,"=4",Database!$F$4:$F$1048576,"Subdis")),0)))),IF($I$4="Timur",IF($I$5="All",SUM(SUMIFS(Database!$X$4:$X$1048576,Database!$B$4:$B$1048576,$I$3,Database!$D$4:$D$1048576,{"SB1","SB2","BMS","MKS","DPS","KDR","MLG","SMD","PTK","JBR","MNO","JPU","MTR","BPP","KPG","PLU"},Database!$X$4:$X$1048576,"=4")),IF($I$5="Apotek",SUM(SUMIFS(Database!$X$4:$X$1048576,Database!$B$4:$B$1048576,$I$3,Database!$D$4:$D$1048576,{"SB1","SB2","BMS","MKS","DPS","KDR","MLG","SMD","PTK","JBR","MNO","JPU","MTR","BPP","KPG","PLU"},Database!$X$4:$X$1048576,"=4",Database!$F$4:$F$1048576,"Apotek")),IF($I$5="Rumah Sakit",SUM(SUMIFS(Database!$X$4:$X$1048576,Database!$B$4:$B$1048576,$I$3,Database!$D$4:$D$1048576,{"SB1","SB2","BMS","MKS","DPS","KDR","MLG","SMD","PTK","JBR","MNO","JPU","MTR","BPP","KPG","PLU"},Database!$X$4:$X$1048576,"=4",Database!$F$4:$F$1048576,"Rumah sakit")),IF($I$5="Subdis",SUM(SUMIFS(Database!$X$4:$X$1048576,Database!$B$4:$B$1048576,$I$3,Database!$D$4:$D$1048576,{"SB1","SB2","BMS","MKS","DPS","KDR","MLG","SMD","PTK","JBR","MNO","JPU","MTR","BPP","KPG","PLU"},Database!$X$4:$X$1048576,"=4",Database!$F$4:$F$1048576,"Subdis")),0)))))))/$E$8</f>
        <v>0</v>
      </c>
      <c r="F26" s="9">
        <f t="shared" si="0"/>
        <v>0</v>
      </c>
      <c r="G26" s="10" t="e">
        <f t="shared" si="10"/>
        <v>#DIV/0!</v>
      </c>
      <c r="H26" s="23">
        <f>IF($I$4="Barat",IF($I$5="All",SUM(SUMIFS(Database!$AY$4:$AY$1048576,Database!$AC$4:$AC$1048576,$I$3,Database!$AE$4:$AE$1048576,{"JK2","MDN","TGR","PKB","PLB","BDL","PMS","PDG","BTM","BAC","JBI","PKP","BKL","LSE","PJT"},Database!$AY$4:$AY$1048576,"=1")),IF($I$5="Apotek",SUM(SUMIFS(Database!$AY$4:$AY$1048576,Database!$AC$4:$AC$1048576,$I$3,Database!$AE$4:$AE$1048576,{"JK2","MDN","TGR","PKB","PLB","BDL","PMS","PDG","BTM","BAC","JBI","PKP","BKL","LSE","PJT"},Database!$AY$4:$AY$1048576,"=1",Database!$AG$4:$AG$1048576,"Apotek")),IF($I$5="Rumah Sakit",SUM(SUMIFS(Database!$AY$4:$AY$1048576,Database!$AC$4:$AC$1048576,$I$3,Database!$AE$4:$AE$1048576,{"JK2","MDN","TGR","PKB","PLB","BDL","PMS","PDG","BTM","BAC","JBI","PKP","BKL","LSE","PJT"},Database!$AY$4:$AY$1048576,"=1",Database!$AG$4:$AG$1048576,"Rumah sakit")),IF($I$5="Subdis",SUM(SUMIFS(Database!$AY$4:$AY$1048576,Database!$AC$4:$AC$1048576,$I$3,Database!$AE$4:$AE$1048576,{"JK2","MDN","TGR","PKB","PLB","BDL","PMS","PDG","BTM","BAC","JBI","PKP","BKL","LSE","PJT"},Database!$AY$4:$AY$1048576,"=1",Database!$AG$4:$AG$1048576,"Subdis")),0)))),IF($I$4="Tengah",IF($I$5="All",SUM(SUMIFS(Database!$AY$4:$AY$1048576,Database!$AC$4:$AC$1048576,$I$3,Database!$AE$4:$AE$1048576,{"JK1","JK3","BDG","SMG","BGR","YOG","SLO","CRB","PWK","BKS","KDS","TGL","TSK","SKI","BD2"},Database!$AY$4:$AY$1048576,"=1")),IF($I$5="Apotek",SUM(SUMIFS(Database!$AY$4:$AY$1048576,Database!$AC$4:$AC$1048576,$I$3,Database!$AE$4:$AE$1048576,{"JK1","JK3","BDG","SMG","BGR","YOG","SLO","CRB","PWK","BKS","KDS","TGL","TSK","SKI","BD2"},Database!$AY$4:$AY$1048576,"=1",Database!$AG$4:$AG$1048576,"Apotek")),IF($I$5="Rumah Sakit",SUM(SUMIFS(Database!$AY$4:$AY$1048576,Database!$AC$4:$AC$1048576,$I$3,Database!$AE$4:$AE$1048576,{"JK1","JK3","BDG","SMG","BGR","YOG","SLO","CRB","PWK","BKS","KDS","TGL","TSK","SKI","BD2"},Database!$AY$4:$AY$1048576,"=1",Database!$AG$4:$AG$1048576,"Rumah sakit")),IF($I$5="Subdis",SUM(SUMIFS(Database!$AY$4:$AY$1048576,Database!$AC$4:$AC$1048576,$I$3,Database!$AE$4:$AE$1048576,{"JK1","JK3","BDG","SMG","BGR","YOG","SLO","CRB","PWK","BKS","KDS","TGL","TSK","SKI","BD2"},Database!$AY$4:$AY$1048576,"=1",Database!$AG$4:$AG$1048576,"Subdis")),0)))),IF($I$4="Timur",IF($I$5="All",SUM(SUMIFS(Database!$AY$4:$AY$1048576,Database!$AC$4:$AC$1048576,$I$3,Database!$AE$4:$AE$1048576,{"SB1","SB2","BMS","MKS","DPS","KDR","MLG","SMD","PTK","JBR","MNO","JPU","MTR","BPP","KPG","PLU"},Database!$AY$4:$AY$1048576,"=1")),IF($I$5="Apotek",SUM(SUMIFS(Database!$AY$4:$AY$1048576,Database!$AC$4:$AC$1048576,$I$3,Database!$AE$4:$AE$1048576,{"SB1","SB2","BMS","MKS","DPS","KDR","MLG","SMD","PTK","JBR","MNO","JPU","MTR","BPP","KPG","PLU"},Database!$AY$4:$AY$1048576,"=1",Database!$AG$4:$AG$1048576,"Apotek")),IF($I$5="Rumah Sakit",SUM(SUMIFS(Database!$AY$4:$AY$1048576,Database!$AC$4:$AC$1048576,$I$3,Database!$AE$4:$AE$1048576,{"SB1","SB2","BMS","MKS","DPS","KDR","MLG","SMD","PTK","JBR","MNO","JPU","MTR","BPP","KPG","PLU"},Database!$AY$4:$AY$1048576,"=1",Database!$AG$4:$AG$1048576,"Rumah sakit")),IF($I$5="Subdis",SUM(SUMIFS(Database!$AY$4:$AY$1048576,Database!$AC$4:$AC$1048576,$I$3,Database!$AE$4:$AE$1048576,{"SB1","SB2","BMS","MKS","DPS","KDR","MLG","SMD","PTK","JBR","MNO","JPU","MTR","BPP","KPG","PLU"},Database!$AY$4:$AY$1048576,"=1",Database!$AG$4:$AG$1048576,"Subdis")),0)))))))/$B$8</f>
        <v>0</v>
      </c>
      <c r="I26" s="23">
        <f>IF($I$4="Barat",IF($I$5="All",SUM(SUMIFS(Database!$AY$4:$AY$1048576,Database!$AC$4:$AC$1048576,$I$3,Database!$AE$4:$AE$1048576,{"JK2","MDN","TGR","PKB","PLB","BDL","PMS","PDG","BTM","BAC","JBI","PKP","BKL","LSE","PJT"},Database!$AY$4:$AY$1048576,"=2")),IF($I$5="Apotek",SUM(SUMIFS(Database!$AY$4:$AY$1048576,Database!$AC$4:$AC$1048576,$I$3,Database!$AE$4:$AE$1048576,{"JK2","MDN","TGR","PKB","PLB","BDL","PMS","PDG","BTM","BAC","JBI","PKP","BKL","LSE","PJT"},Database!$AY$4:$AY$1048576,"=2",Database!$AG$4:$AG$1048576,"Apotek")),IF($I$5="Rumah Sakit",SUM(SUMIFS(Database!$AY$4:$AY$1048576,Database!$AC$4:$AC$1048576,$I$3,Database!$AE$4:$AE$1048576,{"JK2","MDN","TGR","PKB","PLB","BDL","PMS","PDG","BTM","BAC","JBI","PKP","BKL","LSE","PJT"},Database!$AY$4:$AY$1048576,"=2",Database!$AG$4:$AG$1048576,"Rumah sakit")),IF($I$5="Subdis",SUM(SUMIFS(Database!$AY$4:$AY$1048576,Database!$AC$4:$AC$1048576,$I$3,Database!$AE$4:$AE$1048576,{"JK2","MDN","TGR","PKB","PLB","BDL","PMS","PDG","BTM","BAC","JBI","PKP","BKL","LSE","PJT"},Database!$AY$4:$AY$1048576,"=2",Database!$AG$4:$AG$1048576,"Subdis")),0)))),IF($I$4="Tengah",IF($I$5="All",SUM(SUMIFS(Database!$AY$4:$AY$1048576,Database!$AC$4:$AC$1048576,$I$3,Database!$AE$4:$AE$1048576,{"JK1","JK3","BDG","SMG","BGR","YOG","SLO","CRB","PWK","BKS","KDS","TGL","TSK","SKI","BD2"},Database!$AY$4:$AY$1048576,"=2")),IF($I$5="Apotek",SUM(SUMIFS(Database!$AY$4:$AY$1048576,Database!$AC$4:$AC$1048576,$I$3,Database!$AE$4:$AE$1048576,{"JK1","JK3","BDG","SMG","BGR","YOG","SLO","CRB","PWK","BKS","KDS","TGL","TSK","SKI","BD2"},Database!$AY$4:$AY$1048576,"=2",Database!$AG$4:$AG$1048576,"Apotek")),IF($I$5="Rumah Sakit",SUM(SUMIFS(Database!$AY$4:$AY$1048576,Database!$AC$4:$AC$1048576,$I$3,Database!$AE$4:$AE$1048576,{"JK1","JK3","BDG","SMG","BGR","YOG","SLO","CRB","PWK","BKS","KDS","TGL","TSK","SKI","BD2"},Database!$AY$4:$AY$1048576,"=2",Database!$AG$4:$AG$1048576,"Rumah sakit")),IF($I$5="Subdis",SUM(SUMIFS(Database!$AY$4:$AY$1048576,Database!$AC$4:$AC$1048576,$I$3,Database!$AE$4:$AE$1048576,{"JK1","JK3","BDG","SMG","BGR","YOG","SLO","CRB","PWK","BKS","KDS","TGL","TSK","SKI","BD2"},Database!$AY$4:$AY$1048576,"=2",Database!$AG$4:$AG$1048576,"Subdis")),0)))),IF($I$4="Timur",IF($I$5="All",SUM(SUMIFS(Database!$AY$4:$AY$1048576,Database!$AC$4:$AC$1048576,$I$3,Database!$AE$4:$AE$1048576,{"SB1","SB2","BMS","MKS","DPS","KDR","MLG","SMD","PTK","JBR","MNO","JPU","MTR","BPP","KPG","PLU"},Database!$AY$4:$AY$1048576,"=2")),IF($I$5="Apotek",SUM(SUMIFS(Database!$AY$4:$AY$1048576,Database!$AC$4:$AC$1048576,$I$3,Database!$AE$4:$AE$1048576,{"SB1","SB2","BMS","MKS","DPS","KDR","MLG","SMD","PTK","JBR","MNO","JPU","MTR","BPP","KPG","PLU"},Database!$AY$4:$AY$1048576,"=2",Database!$AG$4:$AG$1048576,"Apotek")),IF($I$5="Rumah Sakit",SUM(SUMIFS(Database!$AY$4:$AY$1048576,Database!$AC$4:$AC$1048576,$I$3,Database!$AE$4:$AE$1048576,{"SB1","SB2","BMS","MKS","DPS","KDR","MLG","SMD","PTK","JBR","MNO","JPU","MTR","BPP","KPG","PLU"},Database!$AY$4:$AY$1048576,"=2",Database!$AG$4:$AG$1048576,"Rumah sakit")),IF($I$5="Subdis",SUM(SUMIFS(Database!$AY$4:$AY$1048576,Database!$AC$4:$AC$1048576,$I$3,Database!$AE$4:$AE$1048576,{"SB1","SB2","BMS","MKS","DPS","KDR","MLG","SMD","PTK","JBR","MNO","JPU","MTR","BPP","KPG","PLU"},Database!$AY$4:$AY$1048576,"=2",Database!$AG$4:$AG$1048576,"Subdis")),0)))))))/$C$8</f>
        <v>0</v>
      </c>
      <c r="J26" s="23">
        <f>IF($I$4="Barat",IF($I$5="All",SUM(SUMIFS(Database!$AY$4:$AY$1048576,Database!$AC$4:$AC$1048576,$I$3,Database!$AE$4:$AE$1048576,{"JK2","MDN","TGR","PKB","PLB","BDL","PMS","PDG","BTM","BAC","JBI","PKP","BKL","LSE","PJT"},Database!$AY$4:$AY$1048576,"=3")),IF($I$5="Apotek",SUM(SUMIFS(Database!$AY$4:$AY$1048576,Database!$AC$4:$AC$1048576,$I$3,Database!$AE$4:$AE$1048576,{"JK2","MDN","TGR","PKB","PLB","BDL","PMS","PDG","BTM","BAC","JBI","PKP","BKL","LSE","PJT"},Database!$AY$4:$AY$1048576,"=3",Database!$AG$4:$AG$1048576,"Apotek")),IF($I$5="Rumah Sakit",SUM(SUMIFS(Database!$AY$4:$AY$1048576,Database!$AC$4:$AC$1048576,$I$3,Database!$AE$4:$AE$1048576,{"JK2","MDN","TGR","PKB","PLB","BDL","PMS","PDG","BTM","BAC","JBI","PKP","BKL","LSE","PJT"},Database!$AY$4:$AY$1048576,"=3",Database!$AG$4:$AG$1048576,"Rumah sakit")),IF($I$5="Subdis",SUM(SUMIFS(Database!$AY$4:$AY$1048576,Database!$AC$4:$AC$1048576,$I$3,Database!$AE$4:$AE$1048576,{"JK2","MDN","TGR","PKB","PLB","BDL","PMS","PDG","BTM","BAC","JBI","PKP","BKL","LSE","PJT"},Database!$AY$4:$AY$1048576,"=3",Database!$AG$4:$AG$1048576,"Subdis")),0)))),IF($I$4="Tengah",IF($I$5="All",SUM(SUMIFS(Database!$AY$4:$AY$1048576,Database!$AC$4:$AC$1048576,$I$3,Database!$AE$4:$AE$1048576,{"JK1","JK3","BDG","SMG","BGR","YOG","SLO","CRB","PWK","BKS","KDS","TGL","TSK","SKI","BD2"},Database!$AY$4:$AY$1048576,"=3")),IF($I$5="Apotek",SUM(SUMIFS(Database!$AY$4:$AY$1048576,Database!$AC$4:$AC$1048576,$I$3,Database!$AE$4:$AE$1048576,{"JK1","JK3","BDG","SMG","BGR","YOG","SLO","CRB","PWK","BKS","KDS","TGL","TSK","SKI","BD2"},Database!$AY$4:$AY$1048576,"=3",Database!$AG$4:$AG$1048576,"Apotek")),IF($I$5="Rumah Sakit",SUM(SUMIFS(Database!$AY$4:$AY$1048576,Database!$AC$4:$AC$1048576,$I$3,Database!$AE$4:$AE$1048576,{"JK1","JK3","BDG","SMG","BGR","YOG","SLO","CRB","PWK","BKS","KDS","TGL","TSK","SKI","BD2"},Database!$AY$4:$AY$1048576,"=3",Database!$AG$4:$AG$1048576,"Rumah sakit")),IF($I$5="Subdis",SUM(SUMIFS(Database!$AY$4:$AY$1048576,Database!$AC$4:$AC$1048576,$I$3,Database!$AE$4:$AE$1048576,{"JK1","JK3","BDG","SMG","BGR","YOG","SLO","CRB","PWK","BKS","KDS","TGL","TSK","SKI","BD2"},Database!$AY$4:$AY$1048576,"=3",Database!$AG$4:$AG$1048576,"Subdis")),0)))),IF($I$4="Timur",IF($I$5="All",SUM(SUMIFS(Database!$AY$4:$AY$1048576,Database!$AC$4:$AC$1048576,$I$3,Database!$AE$4:$AE$1048576,{"SB1","SB2","BMS","MKS","DPS","KDR","MLG","SMD","PTK","JBR","MNO","JPU","MTR","BPP","KPG","PLU"},Database!$AY$4:$AY$1048576,"=3")),IF($I$5="Apotek",SUM(SUMIFS(Database!$AY$4:$AY$1048576,Database!$AC$4:$AC$1048576,$I$3,Database!$AE$4:$AE$1048576,{"SB1","SB2","BMS","MKS","DPS","KDR","MLG","SMD","PTK","JBR","MNO","JPU","MTR","BPP","KPG","PLU"},Database!$AY$4:$AY$1048576,"=3",Database!$AG$4:$AG$1048576,"Apotek")),IF($I$5="Rumah Sakit",SUM(SUMIFS(Database!$AY$4:$AY$1048576,Database!$AC$4:$AC$1048576,$I$3,Database!$AE$4:$AE$1048576,{"SB1","SB2","BMS","MKS","DPS","KDR","MLG","SMD","PTK","JBR","MNO","JPU","MTR","BPP","KPG","PLU"},Database!$AY$4:$AY$1048576,"=3",Database!$AG$4:$AG$1048576,"Rumah sakit")),IF($I$5="Subdis",SUM(SUMIFS(Database!$AY$4:$AY$1048576,Database!$AC$4:$AC$1048576,$I$3,Database!$AE$4:$AE$1048576,{"SB1","SB2","BMS","MKS","DPS","KDR","MLG","SMD","PTK","JBR","MNO","JPU","MTR","BPP","KPG","PLU"},Database!$AY$4:$AY$1048576,"=3",Database!$AG$4:$AG$1048576,"Subdis")),0)))))))/$D$8</f>
        <v>0</v>
      </c>
      <c r="K26" s="23">
        <f>IF($I$4="Barat",IF($I$5="All",SUM(SUMIFS(Database!$AY$4:$AY$1048576,Database!$AC$4:$AC$1048576,$I$3,Database!$AE$4:$AE$1048576,{"JK2","MDN","TGR","PKB","PLB","BDL","PMS","PDG","BTM","BAC","JBI","PKP","BKL","LSE","PJT"},Database!$AY$4:$AY$1048576,"=4")),IF($I$5="Apotek",SUM(SUMIFS(Database!$AY$4:$AY$1048576,Database!$AC$4:$AC$1048576,$I$3,Database!$AE$4:$AE$1048576,{"JK2","MDN","TGR","PKB","PLB","BDL","PMS","PDG","BTM","BAC","JBI","PKP","BKL","LSE","PJT"},Database!$AY$4:$AY$1048576,"=4",Database!$AG$4:$AG$1048576,"Apotek")),IF($I$5="Rumah Sakit",SUM(SUMIFS(Database!$AY$4:$AY$1048576,Database!$AC$4:$AC$1048576,$I$3,Database!$AE$4:$AE$1048576,{"JK2","MDN","TGR","PKB","PLB","BDL","PMS","PDG","BTM","BAC","JBI","PKP","BKL","LSE","PJT"},Database!$AY$4:$AY$1048576,"=4",Database!$AG$4:$AG$1048576,"Rumah sakit")),IF($I$5="Subdis",SUM(SUMIFS(Database!$AY$4:$AY$1048576,Database!$AC$4:$AC$1048576,$I$3,Database!$AE$4:$AE$1048576,{"JK2","MDN","TGR","PKB","PLB","BDL","PMS","PDG","BTM","BAC","JBI","PKP","BKL","LSE","PJT"},Database!$AY$4:$AY$1048576,"=4",Database!$AG$4:$AG$1048576,"Subdis")),0)))),IF($I$4="Tengah",IF($I$5="All",SUM(SUMIFS(Database!$AY$4:$AY$1048576,Database!$AC$4:$AC$1048576,$I$3,Database!$AE$4:$AE$1048576,{"JK1","JK3","BDG","SMG","BGR","YOG","SLO","CRB","PWK","BKS","KDS","TGL","TSK","SKI","BD2"},Database!$AY$4:$AY$1048576,"=4")),IF($I$5="Apotek",SUM(SUMIFS(Database!$AY$4:$AY$1048576,Database!$AC$4:$AC$1048576,$I$3,Database!$AE$4:$AE$1048576,{"JK1","JK3","BDG","SMG","BGR","YOG","SLO","CRB","PWK","BKS","KDS","TGL","TSK","SKI","BD2"},Database!$AY$4:$AY$1048576,"=4",Database!$AG$4:$AG$1048576,"Apotek")),IF($I$5="Rumah Sakit",SUM(SUMIFS(Database!$AY$4:$AY$1048576,Database!$AC$4:$AC$1048576,$I$3,Database!$AE$4:$AE$1048576,{"JK1","JK3","BDG","SMG","BGR","YOG","SLO","CRB","PWK","BKS","KDS","TGL","TSK","SKI","BD2"},Database!$AY$4:$AY$1048576,"=4",Database!$AG$4:$AG$1048576,"Rumah sakit")),IF($I$5="Subdis",SUM(SUMIFS(Database!$AY$4:$AY$1048576,Database!$AC$4:$AC$1048576,$I$3,Database!$AE$4:$AE$1048576,{"JK1","JK3","BDG","SMG","BGR","YOG","SLO","CRB","PWK","BKS","KDS","TGL","TSK","SKI","BD2"},Database!$AY$4:$AY$1048576,"=4",Database!$AG$4:$AG$1048576,"Subdis")),0)))),IF($I$4="Timur",IF($I$5="All",SUM(SUMIFS(Database!$AY$4:$AY$1048576,Database!$AC$4:$AC$1048576,$I$3,Database!$AE$4:$AE$1048576,{"SB1","SB2","BMS","MKS","DPS","KDR","MLG","SMD","PTK","JBR","MNO","JPU","MTR","BPP","KPG","PLU"},Database!$AY$4:$AY$1048576,"=4")),IF($I$5="Apotek",SUM(SUMIFS(Database!$AY$4:$AY$1048576,Database!$AC$4:$AC$1048576,$I$3,Database!$AE$4:$AE$1048576,{"SB1","SB2","BMS","MKS","DPS","KDR","MLG","SMD","PTK","JBR","MNO","JPU","MTR","BPP","KPG","PLU"},Database!$AY$4:$AY$1048576,"=4",Database!$AG$4:$AG$1048576,"Apotek")),IF($I$5="Rumah Sakit",SUM(SUMIFS(Database!$AY$4:$AY$1048576,Database!$AC$4:$AC$1048576,$I$3,Database!$AE$4:$AE$1048576,{"SB1","SB2","BMS","MKS","DPS","KDR","MLG","SMD","PTK","JBR","MNO","JPU","MTR","BPP","KPG","PLU"},Database!$AY$4:$AY$1048576,"=4",Database!$AG$4:$AG$1048576,"Rumah sakit")),IF($I$5="Subdis",SUM(SUMIFS(Database!$AY$4:$AY$1048576,Database!$AC$4:$AC$1048576,$I$3,Database!$AE$4:$AE$1048576,{"SB1","SB2","BMS","MKS","DPS","KDR","MLG","SMD","PTK","JBR","MNO","JPU","MTR","BPP","KPG","PLU"},Database!$AY$4:$AY$1048576,"=4",Database!$AG$4:$AG$1048576,"Subdis")),0)))))))/$E$8</f>
        <v>0</v>
      </c>
      <c r="L26" s="9">
        <f t="shared" si="1"/>
        <v>0</v>
      </c>
      <c r="M26" s="10" t="e">
        <f t="shared" si="2"/>
        <v>#DIV/0!</v>
      </c>
      <c r="N26" s="10" t="e">
        <f t="shared" si="3"/>
        <v>#DIV/0!</v>
      </c>
      <c r="O26" s="32" t="e">
        <f t="shared" si="4"/>
        <v>#DIV/0!</v>
      </c>
      <c r="P26" s="11" t="s">
        <v>61</v>
      </c>
      <c r="Q26" s="32" t="e">
        <f t="shared" si="18"/>
        <v>#DIV/0!</v>
      </c>
      <c r="R26" s="81" t="e">
        <f t="shared" si="6"/>
        <v>#DIV/0!</v>
      </c>
      <c r="S26" s="81" t="e">
        <f t="shared" si="7"/>
        <v>#DIV/0!</v>
      </c>
      <c r="T26" s="81" t="e">
        <f t="shared" si="19"/>
        <v>#DIV/0!</v>
      </c>
      <c r="U26" s="81" t="e">
        <f t="shared" si="20"/>
        <v>#DIV/0!</v>
      </c>
      <c r="V26" s="253"/>
    </row>
    <row r="27" spans="1:22" ht="18" x14ac:dyDescent="0.35">
      <c r="A27" s="9" t="s">
        <v>32</v>
      </c>
      <c r="B27" s="23">
        <f>IF($I$4="Barat",IF($I$5="All",SUM(SUMIFS(Database!$Y$4:$Y$1048576,Database!$B$4:$B$1048576,$I$3,Database!$D$4:$D$1048576,{"JK2","MDN","TGR","PKB","PLB","BDL","PMS","PDG","BTM","BAC","JBI","PKP","BKL","LSE","PJT"},Database!$Y$4:$Y$1048576,"=1")),IF($I$5="Apotek",SUM(SUMIFS(Database!$Y$4:$Y$1048576,Database!$B$4:$B$1048576,$I$3,Database!$D$4:$D$1048576,{"JK2","MDN","TGR","PKB","PLB","BDL","PMS","PDG","BTM","BAC","JBI","PKP","BKL","LSE","PJT"},Database!$Y$4:$Y$1048576,"=1",Database!$F$4:$F$1048576,"Apotek")),IF($I$5="Rumah Sakit",SUM(SUMIFS(Database!$Y$4:$Y$1048576,Database!$B$4:$B$1048576,$I$3,Database!$D$4:$D$1048576,{"JK2","MDN","TGR","PKB","PLB","BDL","PMS","PDG","BTM","BAC","JBI","PKP","BKL","LSE","PJT"},Database!$Y$4:$Y$1048576,"=1",Database!$F$4:$F$1048576,"Rumah sakit")),IF($I$5="Subdis",SUM(SUMIFS(Database!$Y$4:$Y$1048576,Database!$B$4:$B$1048576,$I$3,Database!$D$4:$D$1048576,{"JK2","MDN","TGR","PKB","PLB","BDL","PMS","PDG","BTM","BAC","JBI","PKP","BKL","LSE","PJT"},Database!$Y$4:$Y$1048576,"=1",Database!$F$4:$F$1048576,"Subdis")),0)))),IF($I$4="Tengah",IF($I$5="All",SUM(SUMIFS(Database!$Y$4:$Y$1048576,Database!$B$4:$B$1048576,$I$3,Database!$D$4:$D$1048576,{"JK1","JK3","BDG","SMG","BGR","YOG","SLO","CRB","PWK","BKS","KDS","TGL","TSK","SKI","BD2"},Database!$Y$4:$Y$1048576,"=1")),IF($I$5="Apotek",SUM(SUMIFS(Database!$Y$4:$Y$1048576,Database!$B$4:$B$1048576,$I$3,Database!$D$4:$D$1048576,{"JK1","JK3","BDG","SMG","BGR","YOG","SLO","CRB","PWK","BKS","KDS","TGL","TSK","SKI","BD2"},Database!$Y$4:$Y$1048576,"=1",Database!$F$4:$F$1048576,"Apotek")),IF($I$5="Rumah Sakit",SUM(SUMIFS(Database!$Y$4:$Y$1048576,Database!$B$4:$B$1048576,$I$3,Database!$D$4:$D$1048576,{"JK1","JK3","BDG","SMG","BGR","YOG","SLO","CRB","PWK","BKS","KDS","TGL","TSK","SKI","BD2"},Database!$Y$4:$Y$1048576,"=1",Database!$F$4:$F$1048576,"Rumah sakit")),IF($I$5="Subdis",SUM(SUMIFS(Database!$Y$4:$Y$1048576,Database!$B$4:$B$1048576,$I$3,Database!$D$4:$D$1048576,{"JK1","JK3","BDG","SMG","BGR","YOG","SLO","CRB","PWK","BKS","KDS","TGL","TSK","SKI","BD2"},Database!$Y$4:$Y$1048576,"=1",Database!$F$4:$F$1048576,"Subdis")),0)))),IF($I$4="Timur",IF($I$5="All",SUM(SUMIFS(Database!$Y$4:$Y$1048576,Database!$B$4:$B$1048576,$I$3,Database!$D$4:$D$1048576,{"SB1","SB2","BMS","MKS","DPS","KDR","MLG","SMD","PTK","JBR","MNO","JPU","MTR","BPP","KPG","PLU"},Database!$Y$4:$Y$1048576,"=1")),IF($I$5="Apotek",SUM(SUMIFS(Database!$Y$4:$Y$1048576,Database!$B$4:$B$1048576,$I$3,Database!$D$4:$D$1048576,{"SB1","SB2","BMS","MKS","DPS","KDR","MLG","SMD","PTK","JBR","MNO","JPU","MTR","BPP","KPG","PLU"},Database!$Y$4:$Y$1048576,"=1",Database!$F$4:$F$1048576,"Apotek")),IF($I$5="Rumah Sakit",SUM(SUMIFS(Database!$Y$4:$Y$1048576,Database!$B$4:$B$1048576,$I$3,Database!$D$4:$D$1048576,{"SB1","SB2","BMS","MKS","DPS","KDR","MLG","SMD","PTK","JBR","MNO","JPU","MTR","BPP","KPG","PLU"},Database!$Y$4:$Y$1048576,"=1",Database!$F$4:$F$1048576,"Rumah sakit")),IF($I$5="Subdis",SUM(SUMIFS(Database!$Y$4:$Y$1048576,Database!$B$4:$B$1048576,$I$3,Database!$D$4:$D$1048576,{"SB1","SB2","BMS","MKS","DPS","KDR","MLG","SMD","PTK","JBR","MNO","JPU","MTR","BPP","KPG","PLU"},Database!$Y$4:$Y$1048576,"=1",Database!$F$4:$F$1048576,"Subdis")),0)))))))/$B$8</f>
        <v>0</v>
      </c>
      <c r="C27" s="23">
        <f>IF($I$4="Barat",IF($I$5="All",SUM(SUMIFS(Database!$Y$4:$Y$1048576,Database!$B$4:$B$1048576,$I$3,Database!$D$4:$D$1048576,{"JK2","MDN","TGR","PKB","PLB","BDL","PMS","PDG","BTM","BAC","JBI","PKP","BKL","LSE","PJT"},Database!$Y$4:$Y$1048576,"=2")),IF($I$5="Apotek",SUM(SUMIFS(Database!$Y$4:$Y$1048576,Database!$B$4:$B$1048576,$I$3,Database!$D$4:$D$1048576,{"JK2","MDN","TGR","PKB","PLB","BDL","PMS","PDG","BTM","BAC","JBI","PKP","BKL","LSE","PJT"},Database!$Y$4:$Y$1048576,"=2",Database!$F$4:$F$1048576,"Apotek")),IF($I$5="Rumah Sakit",SUM(SUMIFS(Database!$Y$4:$Y$1048576,Database!$B$4:$B$1048576,$I$3,Database!$D$4:$D$1048576,{"JK2","MDN","TGR","PKB","PLB","BDL","PMS","PDG","BTM","BAC","JBI","PKP","BKL","LSE","PJT"},Database!$Y$4:$Y$1048576,"=2",Database!$F$4:$F$1048576,"Rumah sakit")),IF($I$5="Subdis",SUM(SUMIFS(Database!$Y$4:$Y$1048576,Database!$B$4:$B$1048576,$I$3,Database!$D$4:$D$1048576,{"JK2","MDN","TGR","PKB","PLB","BDL","PMS","PDG","BTM","BAC","JBI","PKP","BKL","LSE","PJT"},Database!$Y$4:$Y$1048576,"=2",Database!$F$4:$F$1048576,"Subdis")),0)))),IF($I$4="Tengah",IF($I$5="All",SUM(SUMIFS(Database!$Y$4:$Y$1048576,Database!$B$4:$B$1048576,$I$3,Database!$D$4:$D$1048576,{"JK1","JK3","BDG","SMG","BGR","YOG","SLO","CRB","PWK","BKS","KDS","TGL","TSK","SKI","BD2"},Database!$Y$4:$Y$1048576,"=2")),IF($I$5="Apotek",SUM(SUMIFS(Database!$Y$4:$Y$1048576,Database!$B$4:$B$1048576,$I$3,Database!$D$4:$D$1048576,{"JK1","JK3","BDG","SMG","BGR","YOG","SLO","CRB","PWK","BKS","KDS","TGL","TSK","SKI","BD2"},Database!$Y$4:$Y$1048576,"=2",Database!$F$4:$F$1048576,"Apotek")),IF($I$5="Rumah Sakit",SUM(SUMIFS(Database!$Y$4:$Y$1048576,Database!$B$4:$B$1048576,$I$3,Database!$D$4:$D$1048576,{"JK1","JK3","BDG","SMG","BGR","YOG","SLO","CRB","PWK","BKS","KDS","TGL","TSK","SKI","BD2"},Database!$Y$4:$Y$1048576,"=2",Database!$F$4:$F$1048576,"Rumah sakit")),IF($I$5="Subdis",SUM(SUMIFS(Database!$Y$4:$Y$1048576,Database!$B$4:$B$1048576,$I$3,Database!$D$4:$D$1048576,{"JK1","JK3","BDG","SMG","BGR","YOG","SLO","CRB","PWK","BKS","KDS","TGL","TSK","SKI","BD2"},Database!$Y$4:$Y$1048576,"=2",Database!$F$4:$F$1048576,"Subdis")),0)))),IF($I$4="Timur",IF($I$5="All",SUM(SUMIFS(Database!$Y$4:$Y$1048576,Database!$B$4:$B$1048576,$I$3,Database!$D$4:$D$1048576,{"SB1","SB2","BMS","MKS","DPS","KDR","MLG","SMD","PTK","JBR","MNO","JPU","MTR","BPP","KPG","PLU"},Database!$Y$4:$Y$1048576,"=2")),IF($I$5="Apotek",SUM(SUMIFS(Database!$Y$4:$Y$1048576,Database!$B$4:$B$1048576,$I$3,Database!$D$4:$D$1048576,{"SB1","SB2","BMS","MKS","DPS","KDR","MLG","SMD","PTK","JBR","MNO","JPU","MTR","BPP","KPG","PLU"},Database!$Y$4:$Y$1048576,"=2",Database!$F$4:$F$1048576,"Apotek")),IF($I$5="Rumah Sakit",SUM(SUMIFS(Database!$Y$4:$Y$1048576,Database!$B$4:$B$1048576,$I$3,Database!$D$4:$D$1048576,{"SB1","SB2","BMS","MKS","DPS","KDR","MLG","SMD","PTK","JBR","MNO","JPU","MTR","BPP","KPG","PLU"},Database!$Y$4:$Y$1048576,"=2",Database!$F$4:$F$1048576,"Rumah sakit")),IF($I$5="Subdis",SUM(SUMIFS(Database!$Y$4:$Y$1048576,Database!$B$4:$B$1048576,$I$3,Database!$D$4:$D$1048576,{"SB1","SB2","BMS","MKS","DPS","KDR","MLG","SMD","PTK","JBR","MNO","JPU","MTR","BPP","KPG","PLU"},Database!$Y$4:$Y$1048576,"=2",Database!$F$4:$F$1048576,"Subdis")),0)))))))/$C$8</f>
        <v>0</v>
      </c>
      <c r="D27" s="23">
        <f>IF($I$4="Barat",IF($I$5="All",SUM(SUMIFS(Database!$Y$4:$Y$1048576,Database!$B$4:$B$1048576,$I$3,Database!$D$4:$D$1048576,{"JK2","MDN","TGR","PKB","PLB","BDL","PMS","PDG","BTM","BAC","JBI","PKP","BKL","LSE","PJT"},Database!$Y$4:$Y$1048576,"=3")),IF($I$5="Apotek",SUM(SUMIFS(Database!$Y$4:$Y$1048576,Database!$B$4:$B$1048576,$I$3,Database!$D$4:$D$1048576,{"JK2","MDN","TGR","PKB","PLB","BDL","PMS","PDG","BTM","BAC","JBI","PKP","BKL","LSE","PJT"},Database!$Y$4:$Y$1048576,"=3",Database!$F$4:$F$1048576,"Apotek")),IF($I$5="Rumah Sakit",SUM(SUMIFS(Database!$Y$4:$Y$1048576,Database!$B$4:$B$1048576,$I$3,Database!$D$4:$D$1048576,{"JK2","MDN","TGR","PKB","PLB","BDL","PMS","PDG","BTM","BAC","JBI","PKP","BKL","LSE","PJT"},Database!$Y$4:$Y$1048576,"=3",Database!$F$4:$F$1048576,"Rumah sakit")),IF($I$5="Subdis",SUM(SUMIFS(Database!$Y$4:$Y$1048576,Database!$B$4:$B$1048576,$I$3,Database!$D$4:$D$1048576,{"JK2","MDN","TGR","PKB","PLB","BDL","PMS","PDG","BTM","BAC","JBI","PKP","BKL","LSE","PJT"},Database!$Y$4:$Y$1048576,"=3",Database!$F$4:$F$1048576,"Subdis")),0)))),IF($I$4="Tengah",IF($I$5="All",SUM(SUMIFS(Database!$Y$4:$Y$1048576,Database!$B$4:$B$1048576,$I$3,Database!$D$4:$D$1048576,{"JK1","JK3","BDG","SMG","BGR","YOG","SLO","CRB","PWK","BKS","KDS","TGL","TSK","SKI","BD2"},Database!$Y$4:$Y$1048576,"=3")),IF($I$5="Apotek",SUM(SUMIFS(Database!$Y$4:$Y$1048576,Database!$B$4:$B$1048576,$I$3,Database!$D$4:$D$1048576,{"JK1","JK3","BDG","SMG","BGR","YOG","SLO","CRB","PWK","BKS","KDS","TGL","TSK","SKI","BD2"},Database!$Y$4:$Y$1048576,"=3",Database!$F$4:$F$1048576,"Apotek")),IF($I$5="Rumah Sakit",SUM(SUMIFS(Database!$Y$4:$Y$1048576,Database!$B$4:$B$1048576,$I$3,Database!$D$4:$D$1048576,{"JK1","JK3","BDG","SMG","BGR","YOG","SLO","CRB","PWK","BKS","KDS","TGL","TSK","SKI","BD2"},Database!$Y$4:$Y$1048576,"=3",Database!$F$4:$F$1048576,"Rumah sakit")),IF($I$5="Subdis",SUM(SUMIFS(Database!$Y$4:$Y$1048576,Database!$B$4:$B$1048576,$I$3,Database!$D$4:$D$1048576,{"JK1","JK3","BDG","SMG","BGR","YOG","SLO","CRB","PWK","BKS","KDS","TGL","TSK","SKI","BD2"},Database!$Y$4:$Y$1048576,"=3",Database!$F$4:$F$1048576,"Subdis")),0)))),IF($I$4="Timur",IF($I$5="All",SUM(SUMIFS(Database!$Y$4:$Y$1048576,Database!$B$4:$B$1048576,$I$3,Database!$D$4:$D$1048576,{"SB1","SB2","BMS","MKS","DPS","KDR","MLG","SMD","PTK","JBR","MNO","JPU","MTR","BPP","KPG","PLU"},Database!$Y$4:$Y$1048576,"=3")),IF($I$5="Apotek",SUM(SUMIFS(Database!$Y$4:$Y$1048576,Database!$B$4:$B$1048576,$I$3,Database!$D$4:$D$1048576,{"SB1","SB2","BMS","MKS","DPS","KDR","MLG","SMD","PTK","JBR","MNO","JPU","MTR","BPP","KPG","PLU"},Database!$Y$4:$Y$1048576,"=3",Database!$F$4:$F$1048576,"Apotek")),IF($I$5="Rumah Sakit",SUM(SUMIFS(Database!$Y$4:$Y$1048576,Database!$B$4:$B$1048576,$I$3,Database!$D$4:$D$1048576,{"SB1","SB2","BMS","MKS","DPS","KDR","MLG","SMD","PTK","JBR","MNO","JPU","MTR","BPP","KPG","PLU"},Database!$Y$4:$Y$1048576,"=3",Database!$F$4:$F$1048576,"Rumah sakit")),IF($I$5="Subdis",SUM(SUMIFS(Database!$Y$4:$Y$1048576,Database!$B$4:$B$1048576,$I$3,Database!$D$4:$D$1048576,{"SB1","SB2","BMS","MKS","DPS","KDR","MLG","SMD","PTK","JBR","MNO","JPU","MTR","BPP","KPG","PLU"},Database!$Y$4:$Y$1048576,"=3",Database!$F$4:$F$1048576,"Subdis")),0)))))))/$D$8</f>
        <v>0</v>
      </c>
      <c r="E27" s="23">
        <f>IF($I$4="Barat",IF($I$5="All",SUM(SUMIFS(Database!$Y$4:$Y$1048576,Database!$B$4:$B$1048576,$I$3,Database!$D$4:$D$1048576,{"JK2","MDN","TGR","PKB","PLB","BDL","PMS","PDG","BTM","BAC","JBI","PKP","BKL","LSE","PJT"},Database!$Y$4:$Y$1048576,"=4")),IF($I$5="Apotek",SUM(SUMIFS(Database!$Y$4:$Y$1048576,Database!$B$4:$B$1048576,$I$3,Database!$D$4:$D$1048576,{"JK2","MDN","TGR","PKB","PLB","BDL","PMS","PDG","BTM","BAC","JBI","PKP","BKL","LSE","PJT"},Database!$Y$4:$Y$1048576,"=4",Database!$F$4:$F$1048576,"Apotek")),IF($I$5="Rumah Sakit",SUM(SUMIFS(Database!$Y$4:$Y$1048576,Database!$B$4:$B$1048576,$I$3,Database!$D$4:$D$1048576,{"JK2","MDN","TGR","PKB","PLB","BDL","PMS","PDG","BTM","BAC","JBI","PKP","BKL","LSE","PJT"},Database!$Y$4:$Y$1048576,"=4",Database!$F$4:$F$1048576,"Rumah sakit")),IF($I$5="Subdis",SUM(SUMIFS(Database!$Y$4:$Y$1048576,Database!$B$4:$B$1048576,$I$3,Database!$D$4:$D$1048576,{"JK2","MDN","TGR","PKB","PLB","BDL","PMS","PDG","BTM","BAC","JBI","PKP","BKL","LSE","PJT"},Database!$Y$4:$Y$1048576,"=4",Database!$F$4:$F$1048576,"Subdis")),0)))),IF($I$4="Tengah",IF($I$5="All",SUM(SUMIFS(Database!$Y$4:$Y$1048576,Database!$B$4:$B$1048576,$I$3,Database!$D$4:$D$1048576,{"JK1","JK3","BDG","SMG","BGR","YOG","SLO","CRB","PWK","BKS","KDS","TGL","TSK","SKI","BD2"},Database!$Y$4:$Y$1048576,"=4")),IF($I$5="Apotek",SUM(SUMIFS(Database!$Y$4:$Y$1048576,Database!$B$4:$B$1048576,$I$3,Database!$D$4:$D$1048576,{"JK1","JK3","BDG","SMG","BGR","YOG","SLO","CRB","PWK","BKS","KDS","TGL","TSK","SKI","BD2"},Database!$Y$4:$Y$1048576,"=4",Database!$F$4:$F$1048576,"Apotek")),IF($I$5="Rumah Sakit",SUM(SUMIFS(Database!$Y$4:$Y$1048576,Database!$B$4:$B$1048576,$I$3,Database!$D$4:$D$1048576,{"JK1","JK3","BDG","SMG","BGR","YOG","SLO","CRB","PWK","BKS","KDS","TGL","TSK","SKI","BD2"},Database!$Y$4:$Y$1048576,"=4",Database!$F$4:$F$1048576,"Rumah sakit")),IF($I$5="Subdis",SUM(SUMIFS(Database!$Y$4:$Y$1048576,Database!$B$4:$B$1048576,$I$3,Database!$D$4:$D$1048576,{"JK1","JK3","BDG","SMG","BGR","YOG","SLO","CRB","PWK","BKS","KDS","TGL","TSK","SKI","BD2"},Database!$Y$4:$Y$1048576,"=4",Database!$F$4:$F$1048576,"Subdis")),0)))),IF($I$4="Timur",IF($I$5="All",SUM(SUMIFS(Database!$Y$4:$Y$1048576,Database!$B$4:$B$1048576,$I$3,Database!$D$4:$D$1048576,{"SB1","SB2","BMS","MKS","DPS","KDR","MLG","SMD","PTK","JBR","MNO","JPU","MTR","BPP","KPG","PLU"},Database!$Y$4:$Y$1048576,"=4")),IF($I$5="Apotek",SUM(SUMIFS(Database!$Y$4:$Y$1048576,Database!$B$4:$B$1048576,$I$3,Database!$D$4:$D$1048576,{"SB1","SB2","BMS","MKS","DPS","KDR","MLG","SMD","PTK","JBR","MNO","JPU","MTR","BPP","KPG","PLU"},Database!$Y$4:$Y$1048576,"=4",Database!$F$4:$F$1048576,"Apotek")),IF($I$5="Rumah Sakit",SUM(SUMIFS(Database!$Y$4:$Y$1048576,Database!$B$4:$B$1048576,$I$3,Database!$D$4:$D$1048576,{"SB1","SB2","BMS","MKS","DPS","KDR","MLG","SMD","PTK","JBR","MNO","JPU","MTR","BPP","KPG","PLU"},Database!$Y$4:$Y$1048576,"=4",Database!$F$4:$F$1048576,"Rumah sakit")),IF($I$5="Subdis",SUM(SUMIFS(Database!$Y$4:$Y$1048576,Database!$B$4:$B$1048576,$I$3,Database!$D$4:$D$1048576,{"SB1","SB2","BMS","MKS","DPS","KDR","MLG","SMD","PTK","JBR","MNO","JPU","MTR","BPP","KPG","PLU"},Database!$Y$4:$Y$1048576,"=4",Database!$F$4:$F$1048576,"Subdis")),0)))))))/$E$8</f>
        <v>0</v>
      </c>
      <c r="F27" s="9">
        <f t="shared" si="0"/>
        <v>0</v>
      </c>
      <c r="G27" s="10" t="e">
        <f t="shared" si="10"/>
        <v>#DIV/0!</v>
      </c>
      <c r="H27" s="23">
        <f>IF($I$4="Barat",IF($I$5="All",SUM(SUMIFS(Database!$AZ$4:$AZ$1048576,Database!$AC$4:$AC$1048576,$I$3,Database!$AE$4:$AE$1048576,{"JK2","MDN","TGR","PKB","PLB","BDL","PMS","PDG","BTM","BAC","JBI","PKP","BKL","LSE","PJT"},Database!$AZ$4:$AZ$1048576,"=1")),IF($I$5="Apotek",SUM(SUMIFS(Database!$AZ$4:$AZ$1048576,Database!$AC$4:$AC$1048576,$I$3,Database!$AE$4:$AE$1048576,{"JK2","MDN","TGR","PKB","PLB","BDL","PMS","PDG","BTM","BAC","JBI","PKP","BKL","LSE","PJT"},Database!$AZ$4:$AZ$1048576,"=1",Database!$AG$4:$AG$1048576,"Apotek")),IF($I$5="Rumah Sakit",SUM(SUMIFS(Database!$AZ$4:$AZ$1048576,Database!$AC$4:$AC$1048576,$I$3,Database!$AE$4:$AE$1048576,{"JK2","MDN","TGR","PKB","PLB","BDL","PMS","PDG","BTM","BAC","JBI","PKP","BKL","LSE","PJT"},Database!$AZ$4:$AZ$1048576,"=1",Database!$AG$4:$AG$1048576,"Rumah sakit")),IF($I$5="Subdis",SUM(SUMIFS(Database!$AZ$4:$AZ$1048576,Database!$AC$4:$AC$1048576,$I$3,Database!$AE$4:$AE$1048576,{"JK2","MDN","TGR","PKB","PLB","BDL","PMS","PDG","BTM","BAC","JBI","PKP","BKL","LSE","PJT"},Database!$AZ$4:$AZ$1048576,"=1",Database!$AG$4:$AG$1048576,"Subdis")),0)))),IF($I$4="Tengah",IF($I$5="All",SUM(SUMIFS(Database!$AZ$4:$AZ$1048576,Database!$AC$4:$AC$1048576,$I$3,Database!$AE$4:$AE$1048576,{"JK1","JK3","BDG","SMG","BGR","YOG","SLO","CRB","PWK","BKS","KDS","TGL","TSK","SKI","BD2"},Database!$AZ$4:$AZ$1048576,"=1")),IF($I$5="Apotek",SUM(SUMIFS(Database!$AZ$4:$AZ$1048576,Database!$AC$4:$AC$1048576,$I$3,Database!$AE$4:$AE$1048576,{"JK1","JK3","BDG","SMG","BGR","YOG","SLO","CRB","PWK","BKS","KDS","TGL","TSK","SKI","BD2"},Database!$AZ$4:$AZ$1048576,"=1",Database!$AG$4:$AG$1048576,"Apotek")),IF($I$5="Rumah Sakit",SUM(SUMIFS(Database!$AZ$4:$AZ$1048576,Database!$AC$4:$AC$1048576,$I$3,Database!$AE$4:$AE$1048576,{"JK1","JK3","BDG","SMG","BGR","YOG","SLO","CRB","PWK","BKS","KDS","TGL","TSK","SKI","BD2"},Database!$AZ$4:$AZ$1048576,"=1",Database!$AG$4:$AG$1048576,"Rumah sakit")),IF($I$5="Subdis",SUM(SUMIFS(Database!$AZ$4:$AZ$1048576,Database!$AC$4:$AC$1048576,$I$3,Database!$AE$4:$AE$1048576,{"JK1","JK3","BDG","SMG","BGR","YOG","SLO","CRB","PWK","BKS","KDS","TGL","TSK","SKI","BD2"},Database!$AZ$4:$AZ$1048576,"=1",Database!$AG$4:$AG$1048576,"Subdis")),0)))),IF($I$4="Timur",IF($I$5="All",SUM(SUMIFS(Database!$AZ$4:$AZ$1048576,Database!$AC$4:$AC$1048576,$I$3,Database!$AE$4:$AE$1048576,{"SB1","SB2","BMS","MKS","DPS","KDR","MLG","SMD","PTK","JBR","MNO","JPU","MTR","BPP","KPG","PLU"},Database!$AZ$4:$AZ$1048576,"=1")),IF($I$5="Apotek",SUM(SUMIFS(Database!$AZ$4:$AZ$1048576,Database!$AC$4:$AC$1048576,$I$3,Database!$AE$4:$AE$1048576,{"SB1","SB2","BMS","MKS","DPS","KDR","MLG","SMD","PTK","JBR","MNO","JPU","MTR","BPP","KPG","PLU"},Database!$AZ$4:$AZ$1048576,"=1",Database!$AG$4:$AG$1048576,"Apotek")),IF($I$5="Rumah Sakit",SUM(SUMIFS(Database!$AZ$4:$AZ$1048576,Database!$AC$4:$AC$1048576,$I$3,Database!$AE$4:$AE$1048576,{"SB1","SB2","BMS","MKS","DPS","KDR","MLG","SMD","PTK","JBR","MNO","JPU","MTR","BPP","KPG","PLU"},Database!$AZ$4:$AZ$1048576,"=1",Database!$AG$4:$AG$1048576,"Rumah sakit")),IF($I$5="Subdis",SUM(SUMIFS(Database!$AZ$4:$AZ$1048576,Database!$AC$4:$AC$1048576,$I$3,Database!$AE$4:$AE$1048576,{"SB1","SB2","BMS","MKS","DPS","KDR","MLG","SMD","PTK","JBR","MNO","JPU","MTR","BPP","KPG","PLU"},Database!$AZ$4:$AZ$1048576,"=1",Database!$AG$4:$AG$1048576,"Subdis")),0)))))))/$B$8</f>
        <v>0</v>
      </c>
      <c r="I27" s="23">
        <f>IF($I$4="Barat",IF($I$5="All",SUM(SUMIFS(Database!$AZ$4:$AZ$1048576,Database!$AC$4:$AC$1048576,$I$3,Database!$AE$4:$AE$1048576,{"JK2","MDN","TGR","PKB","PLB","BDL","PMS","PDG","BTM","BAC","JBI","PKP","BKL","LSE","PJT"},Database!$AZ$4:$AZ$1048576,"=2")),IF($I$5="Apotek",SUM(SUMIFS(Database!$AZ$4:$AZ$1048576,Database!$AC$4:$AC$1048576,$I$3,Database!$AE$4:$AE$1048576,{"JK2","MDN","TGR","PKB","PLB","BDL","PMS","PDG","BTM","BAC","JBI","PKP","BKL","LSE","PJT"},Database!$AZ$4:$AZ$1048576,"=2",Database!$AG$4:$AG$1048576,"Apotek")),IF($I$5="Rumah Sakit",SUM(SUMIFS(Database!$AZ$4:$AZ$1048576,Database!$AC$4:$AC$1048576,$I$3,Database!$AE$4:$AE$1048576,{"JK2","MDN","TGR","PKB","PLB","BDL","PMS","PDG","BTM","BAC","JBI","PKP","BKL","LSE","PJT"},Database!$AZ$4:$AZ$1048576,"=2",Database!$AG$4:$AG$1048576,"Rumah sakit")),IF($I$5="Subdis",SUM(SUMIFS(Database!$AZ$4:$AZ$1048576,Database!$AC$4:$AC$1048576,$I$3,Database!$AE$4:$AE$1048576,{"JK2","MDN","TGR","PKB","PLB","BDL","PMS","PDG","BTM","BAC","JBI","PKP","BKL","LSE","PJT"},Database!$AZ$4:$AZ$1048576,"=2",Database!$AG$4:$AG$1048576,"Subdis")),0)))),IF($I$4="Tengah",IF($I$5="All",SUM(SUMIFS(Database!$AZ$4:$AZ$1048576,Database!$AC$4:$AC$1048576,$I$3,Database!$AE$4:$AE$1048576,{"JK1","JK3","BDG","SMG","BGR","YOG","SLO","CRB","PWK","BKS","KDS","TGL","TSK","SKI","BD2"},Database!$AZ$4:$AZ$1048576,"=2")),IF($I$5="Apotek",SUM(SUMIFS(Database!$AZ$4:$AZ$1048576,Database!$AC$4:$AC$1048576,$I$3,Database!$AE$4:$AE$1048576,{"JK1","JK3","BDG","SMG","BGR","YOG","SLO","CRB","PWK","BKS","KDS","TGL","TSK","SKI","BD2"},Database!$AZ$4:$AZ$1048576,"=2",Database!$AG$4:$AG$1048576,"Apotek")),IF($I$5="Rumah Sakit",SUM(SUMIFS(Database!$AZ$4:$AZ$1048576,Database!$AC$4:$AC$1048576,$I$3,Database!$AE$4:$AE$1048576,{"JK1","JK3","BDG","SMG","BGR","YOG","SLO","CRB","PWK","BKS","KDS","TGL","TSK","SKI","BD2"},Database!$AZ$4:$AZ$1048576,"=2",Database!$AG$4:$AG$1048576,"Rumah sakit")),IF($I$5="Subdis",SUM(SUMIFS(Database!$AZ$4:$AZ$1048576,Database!$AC$4:$AC$1048576,$I$3,Database!$AE$4:$AE$1048576,{"JK1","JK3","BDG","SMG","BGR","YOG","SLO","CRB","PWK","BKS","KDS","TGL","TSK","SKI","BD2"},Database!$AZ$4:$AZ$1048576,"=2",Database!$AG$4:$AG$1048576,"Subdis")),0)))),IF($I$4="Timur",IF($I$5="All",SUM(SUMIFS(Database!$AZ$4:$AZ$1048576,Database!$AC$4:$AC$1048576,$I$3,Database!$AE$4:$AE$1048576,{"SB1","SB2","BMS","MKS","DPS","KDR","MLG","SMD","PTK","JBR","MNO","JPU","MTR","BPP","KPG","PLU"},Database!$AZ$4:$AZ$1048576,"=2")),IF($I$5="Apotek",SUM(SUMIFS(Database!$AZ$4:$AZ$1048576,Database!$AC$4:$AC$1048576,$I$3,Database!$AE$4:$AE$1048576,{"SB1","SB2","BMS","MKS","DPS","KDR","MLG","SMD","PTK","JBR","MNO","JPU","MTR","BPP","KPG","PLU"},Database!$AZ$4:$AZ$1048576,"=2",Database!$AG$4:$AG$1048576,"Apotek")),IF($I$5="Rumah Sakit",SUM(SUMIFS(Database!$AZ$4:$AZ$1048576,Database!$AC$4:$AC$1048576,$I$3,Database!$AE$4:$AE$1048576,{"SB1","SB2","BMS","MKS","DPS","KDR","MLG","SMD","PTK","JBR","MNO","JPU","MTR","BPP","KPG","PLU"},Database!$AZ$4:$AZ$1048576,"=2",Database!$AG$4:$AG$1048576,"Rumah sakit")),IF($I$5="Subdis",SUM(SUMIFS(Database!$AZ$4:$AZ$1048576,Database!$AC$4:$AC$1048576,$I$3,Database!$AE$4:$AE$1048576,{"SB1","SB2","BMS","MKS","DPS","KDR","MLG","SMD","PTK","JBR","MNO","JPU","MTR","BPP","KPG","PLU"},Database!$AZ$4:$AZ$1048576,"=2",Database!$AG$4:$AG$1048576,"Subdis")),0)))))))/$C$8</f>
        <v>0</v>
      </c>
      <c r="J27" s="23">
        <f>IF($I$4="Barat",IF($I$5="All",SUM(SUMIFS(Database!$AZ$4:$AZ$1048576,Database!$AC$4:$AC$1048576,$I$3,Database!$AE$4:$AE$1048576,{"JK2","MDN","TGR","PKB","PLB","BDL","PMS","PDG","BTM","BAC","JBI","PKP","BKL","LSE","PJT"},Database!$AZ$4:$AZ$1048576,"=3")),IF($I$5="Apotek",SUM(SUMIFS(Database!$AZ$4:$AZ$1048576,Database!$AC$4:$AC$1048576,$I$3,Database!$AE$4:$AE$1048576,{"JK2","MDN","TGR","PKB","PLB","BDL","PMS","PDG","BTM","BAC","JBI","PKP","BKL","LSE","PJT"},Database!$AZ$4:$AZ$1048576,"=3",Database!$AG$4:$AG$1048576,"Apotek")),IF($I$5="Rumah Sakit",SUM(SUMIFS(Database!$AZ$4:$AZ$1048576,Database!$AC$4:$AC$1048576,$I$3,Database!$AE$4:$AE$1048576,{"JK2","MDN","TGR","PKB","PLB","BDL","PMS","PDG","BTM","BAC","JBI","PKP","BKL","LSE","PJT"},Database!$AZ$4:$AZ$1048576,"=3",Database!$AG$4:$AG$1048576,"Rumah sakit")),IF($I$5="Subdis",SUM(SUMIFS(Database!$AZ$4:$AZ$1048576,Database!$AC$4:$AC$1048576,$I$3,Database!$AE$4:$AE$1048576,{"JK2","MDN","TGR","PKB","PLB","BDL","PMS","PDG","BTM","BAC","JBI","PKP","BKL","LSE","PJT"},Database!$AZ$4:$AZ$1048576,"=3",Database!$AG$4:$AG$1048576,"Subdis")),0)))),IF($I$4="Tengah",IF($I$5="All",SUM(SUMIFS(Database!$AZ$4:$AZ$1048576,Database!$AC$4:$AC$1048576,$I$3,Database!$AE$4:$AE$1048576,{"JK1","JK3","BDG","SMG","BGR","YOG","SLO","CRB","PWK","BKS","KDS","TGL","TSK","SKI","BD2"},Database!$AZ$4:$AZ$1048576,"=3")),IF($I$5="Apotek",SUM(SUMIFS(Database!$AZ$4:$AZ$1048576,Database!$AC$4:$AC$1048576,$I$3,Database!$AE$4:$AE$1048576,{"JK1","JK3","BDG","SMG","BGR","YOG","SLO","CRB","PWK","BKS","KDS","TGL","TSK","SKI","BD2"},Database!$AZ$4:$AZ$1048576,"=3",Database!$AG$4:$AG$1048576,"Apotek")),IF($I$5="Rumah Sakit",SUM(SUMIFS(Database!$AZ$4:$AZ$1048576,Database!$AC$4:$AC$1048576,$I$3,Database!$AE$4:$AE$1048576,{"JK1","JK3","BDG","SMG","BGR","YOG","SLO","CRB","PWK","BKS","KDS","TGL","TSK","SKI","BD2"},Database!$AZ$4:$AZ$1048576,"=3",Database!$AG$4:$AG$1048576,"Rumah sakit")),IF($I$5="Subdis",SUM(SUMIFS(Database!$AZ$4:$AZ$1048576,Database!$AC$4:$AC$1048576,$I$3,Database!$AE$4:$AE$1048576,{"JK1","JK3","BDG","SMG","BGR","YOG","SLO","CRB","PWK","BKS","KDS","TGL","TSK","SKI","BD2"},Database!$AZ$4:$AZ$1048576,"=3",Database!$AG$4:$AG$1048576,"Subdis")),0)))),IF($I$4="Timur",IF($I$5="All",SUM(SUMIFS(Database!$AZ$4:$AZ$1048576,Database!$AC$4:$AC$1048576,$I$3,Database!$AE$4:$AE$1048576,{"SB1","SB2","BMS","MKS","DPS","KDR","MLG","SMD","PTK","JBR","MNO","JPU","MTR","BPP","KPG","PLU"},Database!$AZ$4:$AZ$1048576,"=3")),IF($I$5="Apotek",SUM(SUMIFS(Database!$AZ$4:$AZ$1048576,Database!$AC$4:$AC$1048576,$I$3,Database!$AE$4:$AE$1048576,{"SB1","SB2","BMS","MKS","DPS","KDR","MLG","SMD","PTK","JBR","MNO","JPU","MTR","BPP","KPG","PLU"},Database!$AZ$4:$AZ$1048576,"=3",Database!$AG$4:$AG$1048576,"Apotek")),IF($I$5="Rumah Sakit",SUM(SUMIFS(Database!$AZ$4:$AZ$1048576,Database!$AC$4:$AC$1048576,$I$3,Database!$AE$4:$AE$1048576,{"SB1","SB2","BMS","MKS","DPS","KDR","MLG","SMD","PTK","JBR","MNO","JPU","MTR","BPP","KPG","PLU"},Database!$AZ$4:$AZ$1048576,"=3",Database!$AG$4:$AG$1048576,"Rumah sakit")),IF($I$5="Subdis",SUM(SUMIFS(Database!$AZ$4:$AZ$1048576,Database!$AC$4:$AC$1048576,$I$3,Database!$AE$4:$AE$1048576,{"SB1","SB2","BMS","MKS","DPS","KDR","MLG","SMD","PTK","JBR","MNO","JPU","MTR","BPP","KPG","PLU"},Database!$AZ$4:$AZ$1048576,"=3",Database!$AG$4:$AG$1048576,"Subdis")),0)))))))/$D$8</f>
        <v>0</v>
      </c>
      <c r="K27" s="23">
        <f>IF($I$4="Barat",IF($I$5="All",SUM(SUMIFS(Database!$AZ$4:$AZ$1048576,Database!$AC$4:$AC$1048576,$I$3,Database!$AE$4:$AE$1048576,{"JK2","MDN","TGR","PKB","PLB","BDL","PMS","PDG","BTM","BAC","JBI","PKP","BKL","LSE","PJT"},Database!$AZ$4:$AZ$1048576,"=4")),IF($I$5="Apotek",SUM(SUMIFS(Database!$AZ$4:$AZ$1048576,Database!$AC$4:$AC$1048576,$I$3,Database!$AE$4:$AE$1048576,{"JK2","MDN","TGR","PKB","PLB","BDL","PMS","PDG","BTM","BAC","JBI","PKP","BKL","LSE","PJT"},Database!$AZ$4:$AZ$1048576,"=4",Database!$AG$4:$AG$1048576,"Apotek")),IF($I$5="Rumah Sakit",SUM(SUMIFS(Database!$AZ$4:$AZ$1048576,Database!$AC$4:$AC$1048576,$I$3,Database!$AE$4:$AE$1048576,{"JK2","MDN","TGR","PKB","PLB","BDL","PMS","PDG","BTM","BAC","JBI","PKP","BKL","LSE","PJT"},Database!$AZ$4:$AZ$1048576,"=4",Database!$AG$4:$AG$1048576,"Rumah sakit")),IF($I$5="Subdis",SUM(SUMIFS(Database!$AZ$4:$AZ$1048576,Database!$AC$4:$AC$1048576,$I$3,Database!$AE$4:$AE$1048576,{"JK2","MDN","TGR","PKB","PLB","BDL","PMS","PDG","BTM","BAC","JBI","PKP","BKL","LSE","PJT"},Database!$AZ$4:$AZ$1048576,"=4",Database!$AG$4:$AG$1048576,"Subdis")),0)))),IF($I$4="Tengah",IF($I$5="All",SUM(SUMIFS(Database!$AZ$4:$AZ$1048576,Database!$AC$4:$AC$1048576,$I$3,Database!$AE$4:$AE$1048576,{"JK1","JK3","BDG","SMG","BGR","YOG","SLO","CRB","PWK","BKS","KDS","TGL","TSK","SKI","BD2"},Database!$AZ$4:$AZ$1048576,"=4")),IF($I$5="Apotek",SUM(SUMIFS(Database!$AZ$4:$AZ$1048576,Database!$AC$4:$AC$1048576,$I$3,Database!$AE$4:$AE$1048576,{"JK1","JK3","BDG","SMG","BGR","YOG","SLO","CRB","PWK","BKS","KDS","TGL","TSK","SKI","BD2"},Database!$AZ$4:$AZ$1048576,"=4",Database!$AG$4:$AG$1048576,"Apotek")),IF($I$5="Rumah Sakit",SUM(SUMIFS(Database!$AZ$4:$AZ$1048576,Database!$AC$4:$AC$1048576,$I$3,Database!$AE$4:$AE$1048576,{"JK1","JK3","BDG","SMG","BGR","YOG","SLO","CRB","PWK","BKS","KDS","TGL","TSK","SKI","BD2"},Database!$AZ$4:$AZ$1048576,"=4",Database!$AG$4:$AG$1048576,"Rumah sakit")),IF($I$5="Subdis",SUM(SUMIFS(Database!$AZ$4:$AZ$1048576,Database!$AC$4:$AC$1048576,$I$3,Database!$AE$4:$AE$1048576,{"JK1","JK3","BDG","SMG","BGR","YOG","SLO","CRB","PWK","BKS","KDS","TGL","TSK","SKI","BD2"},Database!$AZ$4:$AZ$1048576,"=4",Database!$AG$4:$AG$1048576,"Subdis")),0)))),IF($I$4="Timur",IF($I$5="All",SUM(SUMIFS(Database!$AZ$4:$AZ$1048576,Database!$AC$4:$AC$1048576,$I$3,Database!$AE$4:$AE$1048576,{"SB1","SB2","BMS","MKS","DPS","KDR","MLG","SMD","PTK","JBR","MNO","JPU","MTR","BPP","KPG","PLU"},Database!$AZ$4:$AZ$1048576,"=4")),IF($I$5="Apotek",SUM(SUMIFS(Database!$AZ$4:$AZ$1048576,Database!$AC$4:$AC$1048576,$I$3,Database!$AE$4:$AE$1048576,{"SB1","SB2","BMS","MKS","DPS","KDR","MLG","SMD","PTK","JBR","MNO","JPU","MTR","BPP","KPG","PLU"},Database!$AZ$4:$AZ$1048576,"=4",Database!$AG$4:$AG$1048576,"Apotek")),IF($I$5="Rumah Sakit",SUM(SUMIFS(Database!$AZ$4:$AZ$1048576,Database!$AC$4:$AC$1048576,$I$3,Database!$AE$4:$AE$1048576,{"SB1","SB2","BMS","MKS","DPS","KDR","MLG","SMD","PTK","JBR","MNO","JPU","MTR","BPP","KPG","PLU"},Database!$AZ$4:$AZ$1048576,"=4",Database!$AG$4:$AG$1048576,"Rumah sakit")),IF($I$5="Subdis",SUM(SUMIFS(Database!$AZ$4:$AZ$1048576,Database!$AC$4:$AC$1048576,$I$3,Database!$AE$4:$AE$1048576,{"SB1","SB2","BMS","MKS","DPS","KDR","MLG","SMD","PTK","JBR","MNO","JPU","MTR","BPP","KPG","PLU"},Database!$AZ$4:$AZ$1048576,"=4",Database!$AG$4:$AG$1048576,"Subdis")),0)))))))/$E$8</f>
        <v>0</v>
      </c>
      <c r="L27" s="9">
        <f t="shared" si="1"/>
        <v>0</v>
      </c>
      <c r="M27" s="10" t="e">
        <f t="shared" si="2"/>
        <v>#DIV/0!</v>
      </c>
      <c r="N27" s="10" t="e">
        <f t="shared" si="3"/>
        <v>#DIV/0!</v>
      </c>
      <c r="O27" s="32" t="e">
        <f t="shared" si="4"/>
        <v>#DIV/0!</v>
      </c>
      <c r="P27" s="11" t="s">
        <v>62</v>
      </c>
      <c r="Q27" s="32" t="e">
        <f t="shared" si="18"/>
        <v>#DIV/0!</v>
      </c>
      <c r="R27" s="81" t="e">
        <f t="shared" si="6"/>
        <v>#DIV/0!</v>
      </c>
      <c r="S27" s="81" t="e">
        <f t="shared" si="7"/>
        <v>#DIV/0!</v>
      </c>
      <c r="T27" s="81" t="e">
        <f t="shared" si="19"/>
        <v>#DIV/0!</v>
      </c>
      <c r="U27" s="81" t="e">
        <f t="shared" si="20"/>
        <v>#DIV/0!</v>
      </c>
      <c r="V27" s="253"/>
    </row>
    <row r="28" spans="1:22" ht="18" x14ac:dyDescent="0.35">
      <c r="A28" s="9" t="s">
        <v>33</v>
      </c>
      <c r="B28" s="23">
        <f>IF($I$4="Barat",IF($I$5="All",SUM(SUMIFS(Database!$Z$4:$Z$1048576,Database!$B$4:$B$1048576,$I$3,Database!$D$4:$D$1048576,{"JK2","MDN","TGR","PKB","PLB","BDL","PMS","PDG","BTM","BAC","JBI","PKP","BKL","LSE","PJT"},Database!$Z$4:$Z$1048576,"=1")),IF($I$5="Apotek",SUM(SUMIFS(Database!$Z$4:$Z$1048576,Database!$B$4:$B$1048576,$I$3,Database!$D$4:$D$1048576,{"JK2","MDN","TGR","PKB","PLB","BDL","PMS","PDG","BTM","BAC","JBI","PKP","BKL","LSE","PJT"},Database!$Z$4:$Z$1048576,"=1",Database!$F$4:$F$1048576,"Apotek")),IF($I$5="Rumah Sakit",SUM(SUMIFS(Database!$Z$4:$Z$1048576,Database!$B$4:$B$1048576,$I$3,Database!$D$4:$D$1048576,{"JK2","MDN","TGR","PKB","PLB","BDL","PMS","PDG","BTM","BAC","JBI","PKP","BKL","LSE","PJT"},Database!$Z$4:$Z$1048576,"=1",Database!$F$4:$F$1048576,"Rumah sakit")),IF($I$5="Subdis",SUM(SUMIFS(Database!$Z$4:$Z$1048576,Database!$B$4:$B$1048576,$I$3,Database!$D$4:$D$1048576,{"JK2","MDN","TGR","PKB","PLB","BDL","PMS","PDG","BTM","BAC","JBI","PKP","BKL","LSE","PJT"},Database!$Z$4:$Z$1048576,"=1",Database!$F$4:$F$1048576,"Subdis")),0)))),IF($I$4="Tengah",IF($I$5="All",SUM(SUMIFS(Database!$Z$4:$Z$1048576,Database!$B$4:$B$1048576,$I$3,Database!$D$4:$D$1048576,{"JK1","JK3","BDG","SMG","BGR","YOG","SLO","CRB","PWK","BKS","KDS","TGL","TSK","SKI","BD2"},Database!$Z$4:$Z$1048576,"=1")),IF($I$5="Apotek",SUM(SUMIFS(Database!$Z$4:$Z$1048576,Database!$B$4:$B$1048576,$I$3,Database!$D$4:$D$1048576,{"JK1","JK3","BDG","SMG","BGR","YOG","SLO","CRB","PWK","BKS","KDS","TGL","TSK","SKI","BD2"},Database!$Z$4:$Z$1048576,"=1",Database!$F$4:$F$1048576,"Apotek")),IF($I$5="Rumah Sakit",SUM(SUMIFS(Database!$Z$4:$Z$1048576,Database!$B$4:$B$1048576,$I$3,Database!$D$4:$D$1048576,{"JK1","JK3","BDG","SMG","BGR","YOG","SLO","CRB","PWK","BKS","KDS","TGL","TSK","SKI","BD2"},Database!$Z$4:$Z$1048576,"=1",Database!$F$4:$F$1048576,"Rumah sakit")),IF($I$5="Subdis",SUM(SUMIFS(Database!$Z$4:$Z$1048576,Database!$B$4:$B$1048576,$I$3,Database!$D$4:$D$1048576,{"JK1","JK3","BDG","SMG","BGR","YOG","SLO","CRB","PWK","BKS","KDS","TGL","TSK","SKI","BD2"},Database!$Z$4:$Z$1048576,"=1",Database!$F$4:$F$1048576,"Subdis")),0)))),IF($I$4="Timur",IF($I$5="All",SUM(SUMIFS(Database!$Z$4:$Z$1048576,Database!$B$4:$B$1048576,$I$3,Database!$D$4:$D$1048576,{"SB1","SB2","BMS","MKS","DPS","KDR","MLG","SMD","PTK","JBR","MNO","JPU","MTR","BPP","KPG","PLU"},Database!$Z$4:$Z$1048576,"=1")),IF($I$5="Apotek",SUM(SUMIFS(Database!$Z$4:$Z$1048576,Database!$B$4:$B$1048576,$I$3,Database!$D$4:$D$1048576,{"SB1","SB2","BMS","MKS","DPS","KDR","MLG","SMD","PTK","JBR","MNO","JPU","MTR","BPP","KPG","PLU"},Database!$Z$4:$Z$1048576,"=1",Database!$F$4:$F$1048576,"Apotek")),IF($I$5="Rumah Sakit",SUM(SUMIFS(Database!$Z$4:$Z$1048576,Database!$B$4:$B$1048576,$I$3,Database!$D$4:$D$1048576,{"SB1","SB2","BMS","MKS","DPS","KDR","MLG","SMD","PTK","JBR","MNO","JPU","MTR","BPP","KPG","PLU"},Database!$Z$4:$Z$1048576,"=1",Database!$F$4:$F$1048576,"Rumah sakit")),IF($I$5="Subdis",SUM(SUMIFS(Database!$Z$4:$Z$1048576,Database!$B$4:$B$1048576,$I$3,Database!$D$4:$D$1048576,{"SB1","SB2","BMS","MKS","DPS","KDR","MLG","SMD","PTK","JBR","MNO","JPU","MTR","BPP","KPG","PLU"},Database!$Z$4:$Z$1048576,"=1",Database!$F$4:$F$1048576,"Subdis")),0)))))))/$B$8</f>
        <v>0</v>
      </c>
      <c r="C28" s="23">
        <f>IF($I$4="Barat",IF($I$5="All",SUM(SUMIFS(Database!$Z$4:$Z$1048576,Database!$B$4:$B$1048576,$I$3,Database!$D$4:$D$1048576,{"JK2","MDN","TGR","PKB","PLB","BDL","PMS","PDG","BTM","BAC","JBI","PKP","BKL","LSE","PJT"},Database!$Z$4:$Z$1048576,"=2")),IF($I$5="Apotek",SUM(SUMIFS(Database!$Z$4:$Z$1048576,Database!$B$4:$B$1048576,$I$3,Database!$D$4:$D$1048576,{"JK2","MDN","TGR","PKB","PLB","BDL","PMS","PDG","BTM","BAC","JBI","PKP","BKL","LSE","PJT"},Database!$Z$4:$Z$1048576,"=2",Database!$F$4:$F$1048576,"Apotek")),IF($I$5="Rumah Sakit",SUM(SUMIFS(Database!$Z$4:$Z$1048576,Database!$B$4:$B$1048576,$I$3,Database!$D$4:$D$1048576,{"JK2","MDN","TGR","PKB","PLB","BDL","PMS","PDG","BTM","BAC","JBI","PKP","BKL","LSE","PJT"},Database!$Z$4:$Z$1048576,"=2",Database!$F$4:$F$1048576,"Rumah sakit")),IF($I$5="Subdis",SUM(SUMIFS(Database!$Z$4:$Z$1048576,Database!$B$4:$B$1048576,$I$3,Database!$D$4:$D$1048576,{"JK2","MDN","TGR","PKB","PLB","BDL","PMS","PDG","BTM","BAC","JBI","PKP","BKL","LSE","PJT"},Database!$Z$4:$Z$1048576,"=2",Database!$F$4:$F$1048576,"Subdis")),0)))),IF($I$4="Tengah",IF($I$5="All",SUM(SUMIFS(Database!$Z$4:$Z$1048576,Database!$B$4:$B$1048576,$I$3,Database!$D$4:$D$1048576,{"JK1","JK3","BDG","SMG","BGR","YOG","SLO","CRB","PWK","BKS","KDS","TGL","TSK","SKI","BD2"},Database!$Z$4:$Z$1048576,"=2")),IF($I$5="Apotek",SUM(SUMIFS(Database!$Z$4:$Z$1048576,Database!$B$4:$B$1048576,$I$3,Database!$D$4:$D$1048576,{"JK1","JK3","BDG","SMG","BGR","YOG","SLO","CRB","PWK","BKS","KDS","TGL","TSK","SKI","BD2"},Database!$Z$4:$Z$1048576,"=2",Database!$F$4:$F$1048576,"Apotek")),IF($I$5="Rumah Sakit",SUM(SUMIFS(Database!$Z$4:$Z$1048576,Database!$B$4:$B$1048576,$I$3,Database!$D$4:$D$1048576,{"JK1","JK3","BDG","SMG","BGR","YOG","SLO","CRB","PWK","BKS","KDS","TGL","TSK","SKI","BD2"},Database!$Z$4:$Z$1048576,"=2",Database!$F$4:$F$1048576,"Rumah sakit")),IF($I$5="Subdis",SUM(SUMIFS(Database!$Z$4:$Z$1048576,Database!$B$4:$B$1048576,$I$3,Database!$D$4:$D$1048576,{"JK1","JK3","BDG","SMG","BGR","YOG","SLO","CRB","PWK","BKS","KDS","TGL","TSK","SKI","BD2"},Database!$Z$4:$Z$1048576,"=2",Database!$F$4:$F$1048576,"Subdis")),0)))),IF($I$4="Timur",IF($I$5="All",SUM(SUMIFS(Database!$Z$4:$Z$1048576,Database!$B$4:$B$1048576,$I$3,Database!$D$4:$D$1048576,{"SB1","SB2","BMS","MKS","DPS","KDR","MLG","SMD","PTK","JBR","MNO","JPU","MTR","BPP","KPG","PLU"},Database!$Z$4:$Z$1048576,"=2")),IF($I$5="Apotek",SUM(SUMIFS(Database!$Z$4:$Z$1048576,Database!$B$4:$B$1048576,$I$3,Database!$D$4:$D$1048576,{"SB1","SB2","BMS","MKS","DPS","KDR","MLG","SMD","PTK","JBR","MNO","JPU","MTR","BPP","KPG","PLU"},Database!$Z$4:$Z$1048576,"=2",Database!$F$4:$F$1048576,"Apotek")),IF($I$5="Rumah Sakit",SUM(SUMIFS(Database!$Z$4:$Z$1048576,Database!$B$4:$B$1048576,$I$3,Database!$D$4:$D$1048576,{"SB1","SB2","BMS","MKS","DPS","KDR","MLG","SMD","PTK","JBR","MNO","JPU","MTR","BPP","KPG","PLU"},Database!$Z$4:$Z$1048576,"=2",Database!$F$4:$F$1048576,"Rumah sakit")),IF($I$5="Subdis",SUM(SUMIFS(Database!$Z$4:$Z$1048576,Database!$B$4:$B$1048576,$I$3,Database!$D$4:$D$1048576,{"SB1","SB2","BMS","MKS","DPS","KDR","MLG","SMD","PTK","JBR","MNO","JPU","MTR","BPP","KPG","PLU"},Database!$Z$4:$Z$1048576,"=2",Database!$F$4:$F$1048576,"Subdis")),0)))))))/$C$8</f>
        <v>0</v>
      </c>
      <c r="D28" s="23">
        <f>IF($I$4="Barat",IF($I$5="All",SUM(SUMIFS(Database!$Z$4:$Z$1048576,Database!$B$4:$B$1048576,$I$3,Database!$D$4:$D$1048576,{"JK2","MDN","TGR","PKB","PLB","BDL","PMS","PDG","BTM","BAC","JBI","PKP","BKL","LSE","PJT"},Database!$Z$4:$Z$1048576,"=3")),IF($I$5="Apotek",SUM(SUMIFS(Database!$Z$4:$Z$1048576,Database!$B$4:$B$1048576,$I$3,Database!$D$4:$D$1048576,{"JK2","MDN","TGR","PKB","PLB","BDL","PMS","PDG","BTM","BAC","JBI","PKP","BKL","LSE","PJT"},Database!$Z$4:$Z$1048576,"=3",Database!$F$4:$F$1048576,"Apotek")),IF($I$5="Rumah Sakit",SUM(SUMIFS(Database!$Z$4:$Z$1048576,Database!$B$4:$B$1048576,$I$3,Database!$D$4:$D$1048576,{"JK2","MDN","TGR","PKB","PLB","BDL","PMS","PDG","BTM","BAC","JBI","PKP","BKL","LSE","PJT"},Database!$Z$4:$Z$1048576,"=3",Database!$F$4:$F$1048576,"Rumah sakit")),IF($I$5="Subdis",SUM(SUMIFS(Database!$Z$4:$Z$1048576,Database!$B$4:$B$1048576,$I$3,Database!$D$4:$D$1048576,{"JK2","MDN","TGR","PKB","PLB","BDL","PMS","PDG","BTM","BAC","JBI","PKP","BKL","LSE","PJT"},Database!$Z$4:$Z$1048576,"=3",Database!$F$4:$F$1048576,"Subdis")),0)))),IF($I$4="Tengah",IF($I$5="All",SUM(SUMIFS(Database!$Z$4:$Z$1048576,Database!$B$4:$B$1048576,$I$3,Database!$D$4:$D$1048576,{"JK1","JK3","BDG","SMG","BGR","YOG","SLO","CRB","PWK","BKS","KDS","TGL","TSK","SKI","BD2"},Database!$Z$4:$Z$1048576,"=3")),IF($I$5="Apotek",SUM(SUMIFS(Database!$Z$4:$Z$1048576,Database!$B$4:$B$1048576,$I$3,Database!$D$4:$D$1048576,{"JK1","JK3","BDG","SMG","BGR","YOG","SLO","CRB","PWK","BKS","KDS","TGL","TSK","SKI","BD2"},Database!$Z$4:$Z$1048576,"=3",Database!$F$4:$F$1048576,"Apotek")),IF($I$5="Rumah Sakit",SUM(SUMIFS(Database!$Z$4:$Z$1048576,Database!$B$4:$B$1048576,$I$3,Database!$D$4:$D$1048576,{"JK1","JK3","BDG","SMG","BGR","YOG","SLO","CRB","PWK","BKS","KDS","TGL","TSK","SKI","BD2"},Database!$Z$4:$Z$1048576,"=3",Database!$F$4:$F$1048576,"Rumah sakit")),IF($I$5="Subdis",SUM(SUMIFS(Database!$Z$4:$Z$1048576,Database!$B$4:$B$1048576,$I$3,Database!$D$4:$D$1048576,{"JK1","JK3","BDG","SMG","BGR","YOG","SLO","CRB","PWK","BKS","KDS","TGL","TSK","SKI","BD2"},Database!$Z$4:$Z$1048576,"=3",Database!$F$4:$F$1048576,"Subdis")),0)))),IF($I$4="Timur",IF($I$5="All",SUM(SUMIFS(Database!$Z$4:$Z$1048576,Database!$B$4:$B$1048576,$I$3,Database!$D$4:$D$1048576,{"SB1","SB2","BMS","MKS","DPS","KDR","MLG","SMD","PTK","JBR","MNO","JPU","MTR","BPP","KPG","PLU"},Database!$Z$4:$Z$1048576,"=3")),IF($I$5="Apotek",SUM(SUMIFS(Database!$Z$4:$Z$1048576,Database!$B$4:$B$1048576,$I$3,Database!$D$4:$D$1048576,{"SB1","SB2","BMS","MKS","DPS","KDR","MLG","SMD","PTK","JBR","MNO","JPU","MTR","BPP","KPG","PLU"},Database!$Z$4:$Z$1048576,"=3",Database!$F$4:$F$1048576,"Apotek")),IF($I$5="Rumah Sakit",SUM(SUMIFS(Database!$Z$4:$Z$1048576,Database!$B$4:$B$1048576,$I$3,Database!$D$4:$D$1048576,{"SB1","SB2","BMS","MKS","DPS","KDR","MLG","SMD","PTK","JBR","MNO","JPU","MTR","BPP","KPG","PLU"},Database!$Z$4:$Z$1048576,"=3",Database!$F$4:$F$1048576,"Rumah sakit")),IF($I$5="Subdis",SUM(SUMIFS(Database!$Z$4:$Z$1048576,Database!$B$4:$B$1048576,$I$3,Database!$D$4:$D$1048576,{"SB1","SB2","BMS","MKS","DPS","KDR","MLG","SMD","PTK","JBR","MNO","JPU","MTR","BPP","KPG","PLU"},Database!$Z$4:$Z$1048576,"=3",Database!$F$4:$F$1048576,"Subdis")),0)))))))/$D$8</f>
        <v>0</v>
      </c>
      <c r="E28" s="23">
        <f>IF($I$4="Barat",IF($I$5="All",SUM(SUMIFS(Database!$Z$4:$Z$1048576,Database!$B$4:$B$1048576,$I$3,Database!$D$4:$D$1048576,{"JK2","MDN","TGR","PKB","PLB","BDL","PMS","PDG","BTM","BAC","JBI","PKP","BKL","LSE","PJT"},Database!$Z$4:$Z$1048576,"=4")),IF($I$5="Apotek",SUM(SUMIFS(Database!$Z$4:$Z$1048576,Database!$B$4:$B$1048576,$I$3,Database!$D$4:$D$1048576,{"JK2","MDN","TGR","PKB","PLB","BDL","PMS","PDG","BTM","BAC","JBI","PKP","BKL","LSE","PJT"},Database!$Z$4:$Z$1048576,"=4",Database!$F$4:$F$1048576,"Apotek")),IF($I$5="Rumah Sakit",SUM(SUMIFS(Database!$Z$4:$Z$1048576,Database!$B$4:$B$1048576,$I$3,Database!$D$4:$D$1048576,{"JK2","MDN","TGR","PKB","PLB","BDL","PMS","PDG","BTM","BAC","JBI","PKP","BKL","LSE","PJT"},Database!$Z$4:$Z$1048576,"=4",Database!$F$4:$F$1048576,"Rumah sakit")),IF($I$5="Subdis",SUM(SUMIFS(Database!$Z$4:$Z$1048576,Database!$B$4:$B$1048576,$I$3,Database!$D$4:$D$1048576,{"JK2","MDN","TGR","PKB","PLB","BDL","PMS","PDG","BTM","BAC","JBI","PKP","BKL","LSE","PJT"},Database!$Z$4:$Z$1048576,"=4",Database!$F$4:$F$1048576,"Subdis")),0)))),IF($I$4="Tengah",IF($I$5="All",SUM(SUMIFS(Database!$Z$4:$Z$1048576,Database!$B$4:$B$1048576,$I$3,Database!$D$4:$D$1048576,{"JK1","JK3","BDG","SMG","BGR","YOG","SLO","CRB","PWK","BKS","KDS","TGL","TSK","SKI","BD2"},Database!$Z$4:$Z$1048576,"=4")),IF($I$5="Apotek",SUM(SUMIFS(Database!$Z$4:$Z$1048576,Database!$B$4:$B$1048576,$I$3,Database!$D$4:$D$1048576,{"JK1","JK3","BDG","SMG","BGR","YOG","SLO","CRB","PWK","BKS","KDS","TGL","TSK","SKI","BD2"},Database!$Z$4:$Z$1048576,"=4",Database!$F$4:$F$1048576,"Apotek")),IF($I$5="Rumah Sakit",SUM(SUMIFS(Database!$Z$4:$Z$1048576,Database!$B$4:$B$1048576,$I$3,Database!$D$4:$D$1048576,{"JK1","JK3","BDG","SMG","BGR","YOG","SLO","CRB","PWK","BKS","KDS","TGL","TSK","SKI","BD2"},Database!$Z$4:$Z$1048576,"=4",Database!$F$4:$F$1048576,"Rumah sakit")),IF($I$5="Subdis",SUM(SUMIFS(Database!$Z$4:$Z$1048576,Database!$B$4:$B$1048576,$I$3,Database!$D$4:$D$1048576,{"JK1","JK3","BDG","SMG","BGR","YOG","SLO","CRB","PWK","BKS","KDS","TGL","TSK","SKI","BD2"},Database!$Z$4:$Z$1048576,"=4",Database!$F$4:$F$1048576,"Subdis")),0)))),IF($I$4="Timur",IF($I$5="All",SUM(SUMIFS(Database!$Z$4:$Z$1048576,Database!$B$4:$B$1048576,$I$3,Database!$D$4:$D$1048576,{"SB1","SB2","BMS","MKS","DPS","KDR","MLG","SMD","PTK","JBR","MNO","JPU","MTR","BPP","KPG","PLU"},Database!$Z$4:$Z$1048576,"=4")),IF($I$5="Apotek",SUM(SUMIFS(Database!$Z$4:$Z$1048576,Database!$B$4:$B$1048576,$I$3,Database!$D$4:$D$1048576,{"SB1","SB2","BMS","MKS","DPS","KDR","MLG","SMD","PTK","JBR","MNO","JPU","MTR","BPP","KPG","PLU"},Database!$Z$4:$Z$1048576,"=4",Database!$F$4:$F$1048576,"Apotek")),IF($I$5="Rumah Sakit",SUM(SUMIFS(Database!$Z$4:$Z$1048576,Database!$B$4:$B$1048576,$I$3,Database!$D$4:$D$1048576,{"SB1","SB2","BMS","MKS","DPS","KDR","MLG","SMD","PTK","JBR","MNO","JPU","MTR","BPP","KPG","PLU"},Database!$Z$4:$Z$1048576,"=4",Database!$F$4:$F$1048576,"Rumah sakit")),IF($I$5="Subdis",SUM(SUMIFS(Database!$Z$4:$Z$1048576,Database!$B$4:$B$1048576,$I$3,Database!$D$4:$D$1048576,{"SB1","SB2","BMS","MKS","DPS","KDR","MLG","SMD","PTK","JBR","MNO","JPU","MTR","BPP","KPG","PLU"},Database!$Z$4:$Z$1048576,"=4",Database!$F$4:$F$1048576,"Subdis")),0)))))))/$E$8</f>
        <v>0</v>
      </c>
      <c r="F28" s="9">
        <f t="shared" si="0"/>
        <v>0</v>
      </c>
      <c r="G28" s="10" t="e">
        <f t="shared" si="10"/>
        <v>#DIV/0!</v>
      </c>
      <c r="H28" s="23">
        <f>IF($I$4="Barat",IF($I$5="All",SUM(SUMIFS(Database!$BA$4:$BA$1048576,Database!$AC$4:$AC$1048576,$I$3,Database!$AE$4:$AE$1048576,{"JK2","MDN","TGR","PKB","PLB","BDL","PMS","PDG","BTM","BAC","JBI","PKP","BKL","LSE","PJT"},Database!$BA$4:$BA$1048576,"=1")),IF($I$5="Apotek",SUM(SUMIFS(Database!$BA$4:$BA$1048576,Database!$AC$4:$AC$1048576,$I$3,Database!$AE$4:$AE$1048576,{"JK2","MDN","TGR","PKB","PLB","BDL","PMS","PDG","BTM","BAC","JBI","PKP","BKL","LSE","PJT"},Database!$BA$4:$BA$1048576,"=1",Database!$AG$4:$AG$1048576,"Apotek")),IF($I$5="Rumah Sakit",SUM(SUMIFS(Database!$BA$4:$BA$1048576,Database!$AC$4:$AC$1048576,$I$3,Database!$AE$4:$AE$1048576,{"JK2","MDN","TGR","PKB","PLB","BDL","PMS","PDG","BTM","BAC","JBI","PKP","BKL","LSE","PJT"},Database!$BA$4:$BA$1048576,"=1",Database!$AG$4:$AG$1048576,"Rumah sakit")),IF($I$5="Subdis",SUM(SUMIFS(Database!$BA$4:$BA$1048576,Database!$AC$4:$AC$1048576,$I$3,Database!$AE$4:$AE$1048576,{"JK2","MDN","TGR","PKB","PLB","BDL","PMS","PDG","BTM","BAC","JBI","PKP","BKL","LSE","PJT"},Database!$BA$4:$BA$1048576,"=1",Database!$AG$4:$AG$1048576,"Subdis")),0)))),IF($I$4="Tengah",IF($I$5="All",SUM(SUMIFS(Database!$BA$4:$BA$1048576,Database!$AC$4:$AC$1048576,$I$3,Database!$AE$4:$AE$1048576,{"JK1","JK3","BDG","SMG","BGR","YOG","SLO","CRB","PWK","BKS","KDS","TGL","TSK","SKI","BD2"},Database!$BA$4:$BA$1048576,"=1")),IF($I$5="Apotek",SUM(SUMIFS(Database!$BA$4:$BA$1048576,Database!$AC$4:$AC$1048576,$I$3,Database!$AE$4:$AE$1048576,{"JK1","JK3","BDG","SMG","BGR","YOG","SLO","CRB","PWK","BKS","KDS","TGL","TSK","SKI","BD2"},Database!$BA$4:$BA$1048576,"=1",Database!$AG$4:$AG$1048576,"Apotek")),IF($I$5="Rumah Sakit",SUM(SUMIFS(Database!$BA$4:$BA$1048576,Database!$AC$4:$AC$1048576,$I$3,Database!$AE$4:$AE$1048576,{"JK1","JK3","BDG","SMG","BGR","YOG","SLO","CRB","PWK","BKS","KDS","TGL","TSK","SKI","BD2"},Database!$BA$4:$BA$1048576,"=1",Database!$AG$4:$AG$1048576,"Rumah sakit")),IF($I$5="Subdis",SUM(SUMIFS(Database!$BA$4:$BA$1048576,Database!$AC$4:$AC$1048576,$I$3,Database!$AE$4:$AE$1048576,{"JK1","JK3","BDG","SMG","BGR","YOG","SLO","CRB","PWK","BKS","KDS","TGL","TSK","SKI","BD2"},Database!$BA$4:$BA$1048576,"=1",Database!$AG$4:$AG$1048576,"Subdis")),0)))),IF($I$4="Timur",IF($I$5="All",SUM(SUMIFS(Database!$BA$4:$BA$1048576,Database!$AC$4:$AC$1048576,$I$3,Database!$AE$4:$AE$1048576,{"SB1","SB2","BMS","MKS","DPS","KDR","MLG","SMD","PTK","JBR","MNO","JPU","MTR","BPP","KPG","PLU"},Database!$BA$4:$BA$1048576,"=1")),IF($I$5="Apotek",SUM(SUMIFS(Database!$BA$4:$BA$1048576,Database!$AC$4:$AC$1048576,$I$3,Database!$AE$4:$AE$1048576,{"SB1","SB2","BMS","MKS","DPS","KDR","MLG","SMD","PTK","JBR","MNO","JPU","MTR","BPP","KPG","PLU"},Database!$BA$4:$BA$1048576,"=1",Database!$AG$4:$AG$1048576,"Apotek")),IF($I$5="Rumah Sakit",SUM(SUMIFS(Database!$BA$4:$BA$1048576,Database!$AC$4:$AC$1048576,$I$3,Database!$AE$4:$AE$1048576,{"SB1","SB2","BMS","MKS","DPS","KDR","MLG","SMD","PTK","JBR","MNO","JPU","MTR","BPP","KPG","PLU"},Database!$BA$4:$BA$1048576,"=1",Database!$AG$4:$AG$1048576,"Rumah sakit")),IF($I$5="Subdis",SUM(SUMIFS(Database!$BA$4:$BA$1048576,Database!$AC$4:$AC$1048576,$I$3,Database!$AE$4:$AE$1048576,{"SB1","SB2","BMS","MKS","DPS","KDR","MLG","SMD","PTK","JBR","MNO","JPU","MTR","BPP","KPG","PLU"},Database!$BA$4:$BA$1048576,"=1",Database!$AG$4:$AG$1048576,"Subdis")),0)))))))/$B$8</f>
        <v>0</v>
      </c>
      <c r="I28" s="23">
        <f>IF($I$4="Barat",IF($I$5="All",SUM(SUMIFS(Database!$BA$4:$BA$1048576,Database!$AC$4:$AC$1048576,$I$3,Database!$AE$4:$AE$1048576,{"JK2","MDN","TGR","PKB","PLB","BDL","PMS","PDG","BTM","BAC","JBI","PKP","BKL","LSE","PJT"},Database!$BA$4:$BA$1048576,"=2")),IF($I$5="Apotek",SUM(SUMIFS(Database!$BA$4:$BA$1048576,Database!$AC$4:$AC$1048576,$I$3,Database!$AE$4:$AE$1048576,{"JK2","MDN","TGR","PKB","PLB","BDL","PMS","PDG","BTM","BAC","JBI","PKP","BKL","LSE","PJT"},Database!$BA$4:$BA$1048576,"=2",Database!$AG$4:$AG$1048576,"Apotek")),IF($I$5="Rumah Sakit",SUM(SUMIFS(Database!$BA$4:$BA$1048576,Database!$AC$4:$AC$1048576,$I$3,Database!$AE$4:$AE$1048576,{"JK2","MDN","TGR","PKB","PLB","BDL","PMS","PDG","BTM","BAC","JBI","PKP","BKL","LSE","PJT"},Database!$BA$4:$BA$1048576,"=2",Database!$AG$4:$AG$1048576,"Rumah sakit")),IF($I$5="Subdis",SUM(SUMIFS(Database!$BA$4:$BA$1048576,Database!$AC$4:$AC$1048576,$I$3,Database!$AE$4:$AE$1048576,{"JK2","MDN","TGR","PKB","PLB","BDL","PMS","PDG","BTM","BAC","JBI","PKP","BKL","LSE","PJT"},Database!$BA$4:$BA$1048576,"=2",Database!$AG$4:$AG$1048576,"Subdis")),0)))),IF($I$4="Tengah",IF($I$5="All",SUM(SUMIFS(Database!$BA$4:$BA$1048576,Database!$AC$4:$AC$1048576,$I$3,Database!$AE$4:$AE$1048576,{"JK1","JK3","BDG","SMG","BGR","YOG","SLO","CRB","PWK","BKS","KDS","TGL","TSK","SKI","BD2"},Database!$BA$4:$BA$1048576,"=2")),IF($I$5="Apotek",SUM(SUMIFS(Database!$BA$4:$BA$1048576,Database!$AC$4:$AC$1048576,$I$3,Database!$AE$4:$AE$1048576,{"JK1","JK3","BDG","SMG","BGR","YOG","SLO","CRB","PWK","BKS","KDS","TGL","TSK","SKI","BD2"},Database!$BA$4:$BA$1048576,"=2",Database!$AG$4:$AG$1048576,"Apotek")),IF($I$5="Rumah Sakit",SUM(SUMIFS(Database!$BA$4:$BA$1048576,Database!$AC$4:$AC$1048576,$I$3,Database!$AE$4:$AE$1048576,{"JK1","JK3","BDG","SMG","BGR","YOG","SLO","CRB","PWK","BKS","KDS","TGL","TSK","SKI","BD2"},Database!$BA$4:$BA$1048576,"=2",Database!$AG$4:$AG$1048576,"Rumah sakit")),IF($I$5="Subdis",SUM(SUMIFS(Database!$BA$4:$BA$1048576,Database!$AC$4:$AC$1048576,$I$3,Database!$AE$4:$AE$1048576,{"JK1","JK3","BDG","SMG","BGR","YOG","SLO","CRB","PWK","BKS","KDS","TGL","TSK","SKI","BD2"},Database!$BA$4:$BA$1048576,"=2",Database!$AG$4:$AG$1048576,"Subdis")),0)))),IF($I$4="Timur",IF($I$5="All",SUM(SUMIFS(Database!$BA$4:$BA$1048576,Database!$AC$4:$AC$1048576,$I$3,Database!$AE$4:$AE$1048576,{"SB1","SB2","BMS","MKS","DPS","KDR","MLG","SMD","PTK","JBR","MNO","JPU","MTR","BPP","KPG","PLU"},Database!$BA$4:$BA$1048576,"=2")),IF($I$5="Apotek",SUM(SUMIFS(Database!$BA$4:$BA$1048576,Database!$AC$4:$AC$1048576,$I$3,Database!$AE$4:$AE$1048576,{"SB1","SB2","BMS","MKS","DPS","KDR","MLG","SMD","PTK","JBR","MNO","JPU","MTR","BPP","KPG","PLU"},Database!$BA$4:$BA$1048576,"=2",Database!$AG$4:$AG$1048576,"Apotek")),IF($I$5="Rumah Sakit",SUM(SUMIFS(Database!$BA$4:$BA$1048576,Database!$AC$4:$AC$1048576,$I$3,Database!$AE$4:$AE$1048576,{"SB1","SB2","BMS","MKS","DPS","KDR","MLG","SMD","PTK","JBR","MNO","JPU","MTR","BPP","KPG","PLU"},Database!$BA$4:$BA$1048576,"=2",Database!$AG$4:$AG$1048576,"Rumah sakit")),IF($I$5="Subdis",SUM(SUMIFS(Database!$BA$4:$BA$1048576,Database!$AC$4:$AC$1048576,$I$3,Database!$AE$4:$AE$1048576,{"SB1","SB2","BMS","MKS","DPS","KDR","MLG","SMD","PTK","JBR","MNO","JPU","MTR","BPP","KPG","PLU"},Database!$BA$4:$BA$1048576,"=2",Database!$AG$4:$AG$1048576,"Subdis")),0)))))))/$C$8</f>
        <v>0</v>
      </c>
      <c r="J28" s="23">
        <f>IF($I$4="Barat",IF($I$5="All",SUM(SUMIFS(Database!$BA$4:$BA$1048576,Database!$AC$4:$AC$1048576,$I$3,Database!$AE$4:$AE$1048576,{"JK2","MDN","TGR","PKB","PLB","BDL","PMS","PDG","BTM","BAC","JBI","PKP","BKL","LSE","PJT"},Database!$BA$4:$BA$1048576,"=3")),IF($I$5="Apotek",SUM(SUMIFS(Database!$BA$4:$BA$1048576,Database!$AC$4:$AC$1048576,$I$3,Database!$AE$4:$AE$1048576,{"JK2","MDN","TGR","PKB","PLB","BDL","PMS","PDG","BTM","BAC","JBI","PKP","BKL","LSE","PJT"},Database!$BA$4:$BA$1048576,"=3",Database!$AG$4:$AG$1048576,"Apotek")),IF($I$5="Rumah Sakit",SUM(SUMIFS(Database!$BA$4:$BA$1048576,Database!$AC$4:$AC$1048576,$I$3,Database!$AE$4:$AE$1048576,{"JK2","MDN","TGR","PKB","PLB","BDL","PMS","PDG","BTM","BAC","JBI","PKP","BKL","LSE","PJT"},Database!$BA$4:$BA$1048576,"=3",Database!$AG$4:$AG$1048576,"Rumah sakit")),IF($I$5="Subdis",SUM(SUMIFS(Database!$BA$4:$BA$1048576,Database!$AC$4:$AC$1048576,$I$3,Database!$AE$4:$AE$1048576,{"JK2","MDN","TGR","PKB","PLB","BDL","PMS","PDG","BTM","BAC","JBI","PKP","BKL","LSE","PJT"},Database!$BA$4:$BA$1048576,"=3",Database!$AG$4:$AG$1048576,"Subdis")),0)))),IF($I$4="Tengah",IF($I$5="All",SUM(SUMIFS(Database!$BA$4:$BA$1048576,Database!$AC$4:$AC$1048576,$I$3,Database!$AE$4:$AE$1048576,{"JK1","JK3","BDG","SMG","BGR","YOG","SLO","CRB","PWK","BKS","KDS","TGL","TSK","SKI","BD2"},Database!$BA$4:$BA$1048576,"=3")),IF($I$5="Apotek",SUM(SUMIFS(Database!$BA$4:$BA$1048576,Database!$AC$4:$AC$1048576,$I$3,Database!$AE$4:$AE$1048576,{"JK1","JK3","BDG","SMG","BGR","YOG","SLO","CRB","PWK","BKS","KDS","TGL","TSK","SKI","BD2"},Database!$BA$4:$BA$1048576,"=3",Database!$AG$4:$AG$1048576,"Apotek")),IF($I$5="Rumah Sakit",SUM(SUMIFS(Database!$BA$4:$BA$1048576,Database!$AC$4:$AC$1048576,$I$3,Database!$AE$4:$AE$1048576,{"JK1","JK3","BDG","SMG","BGR","YOG","SLO","CRB","PWK","BKS","KDS","TGL","TSK","SKI","BD2"},Database!$BA$4:$BA$1048576,"=3",Database!$AG$4:$AG$1048576,"Rumah sakit")),IF($I$5="Subdis",SUM(SUMIFS(Database!$BA$4:$BA$1048576,Database!$AC$4:$AC$1048576,$I$3,Database!$AE$4:$AE$1048576,{"JK1","JK3","BDG","SMG","BGR","YOG","SLO","CRB","PWK","BKS","KDS","TGL","TSK","SKI","BD2"},Database!$BA$4:$BA$1048576,"=3",Database!$AG$4:$AG$1048576,"Subdis")),0)))),IF($I$4="Timur",IF($I$5="All",SUM(SUMIFS(Database!$BA$4:$BA$1048576,Database!$AC$4:$AC$1048576,$I$3,Database!$AE$4:$AE$1048576,{"SB1","SB2","BMS","MKS","DPS","KDR","MLG","SMD","PTK","JBR","MNO","JPU","MTR","BPP","KPG","PLU"},Database!$BA$4:$BA$1048576,"=3")),IF($I$5="Apotek",SUM(SUMIFS(Database!$BA$4:$BA$1048576,Database!$AC$4:$AC$1048576,$I$3,Database!$AE$4:$AE$1048576,{"SB1","SB2","BMS","MKS","DPS","KDR","MLG","SMD","PTK","JBR","MNO","JPU","MTR","BPP","KPG","PLU"},Database!$BA$4:$BA$1048576,"=3",Database!$AG$4:$AG$1048576,"Apotek")),IF($I$5="Rumah Sakit",SUM(SUMIFS(Database!$BA$4:$BA$1048576,Database!$AC$4:$AC$1048576,$I$3,Database!$AE$4:$AE$1048576,{"SB1","SB2","BMS","MKS","DPS","KDR","MLG","SMD","PTK","JBR","MNO","JPU","MTR","BPP","KPG","PLU"},Database!$BA$4:$BA$1048576,"=3",Database!$AG$4:$AG$1048576,"Rumah sakit")),IF($I$5="Subdis",SUM(SUMIFS(Database!$BA$4:$BA$1048576,Database!$AC$4:$AC$1048576,$I$3,Database!$AE$4:$AE$1048576,{"SB1","SB2","BMS","MKS","DPS","KDR","MLG","SMD","PTK","JBR","MNO","JPU","MTR","BPP","KPG","PLU"},Database!$BA$4:$BA$1048576,"=3",Database!$AG$4:$AG$1048576,"Subdis")),0)))))))/$D$8</f>
        <v>0</v>
      </c>
      <c r="K28" s="23">
        <f>IF($I$4="Barat",IF($I$5="All",SUM(SUMIFS(Database!$BA$4:$BA$1048576,Database!$AC$4:$AC$1048576,$I$3,Database!$AE$4:$AE$1048576,{"JK2","MDN","TGR","PKB","PLB","BDL","PMS","PDG","BTM","BAC","JBI","PKP","BKL","LSE","PJT"},Database!$BA$4:$BA$1048576,"=4")),IF($I$5="Apotek",SUM(SUMIFS(Database!$BA$4:$BA$1048576,Database!$AC$4:$AC$1048576,$I$3,Database!$AE$4:$AE$1048576,{"JK2","MDN","TGR","PKB","PLB","BDL","PMS","PDG","BTM","BAC","JBI","PKP","BKL","LSE","PJT"},Database!$BA$4:$BA$1048576,"=4",Database!$AG$4:$AG$1048576,"Apotek")),IF($I$5="Rumah Sakit",SUM(SUMIFS(Database!$BA$4:$BA$1048576,Database!$AC$4:$AC$1048576,$I$3,Database!$AE$4:$AE$1048576,{"JK2","MDN","TGR","PKB","PLB","BDL","PMS","PDG","BTM","BAC","JBI","PKP","BKL","LSE","PJT"},Database!$BA$4:$BA$1048576,"=4",Database!$AG$4:$AG$1048576,"Rumah sakit")),IF($I$5="Subdis",SUM(SUMIFS(Database!$BA$4:$BA$1048576,Database!$AC$4:$AC$1048576,$I$3,Database!$AE$4:$AE$1048576,{"JK2","MDN","TGR","PKB","PLB","BDL","PMS","PDG","BTM","BAC","JBI","PKP","BKL","LSE","PJT"},Database!$BA$4:$BA$1048576,"=4",Database!$AG$4:$AG$1048576,"Subdis")),0)))),IF($I$4="Tengah",IF($I$5="All",SUM(SUMIFS(Database!$BA$4:$BA$1048576,Database!$AC$4:$AC$1048576,$I$3,Database!$AE$4:$AE$1048576,{"JK1","JK3","BDG","SMG","BGR","YOG","SLO","CRB","PWK","BKS","KDS","TGL","TSK","SKI","BD2"},Database!$BA$4:$BA$1048576,"=4")),IF($I$5="Apotek",SUM(SUMIFS(Database!$BA$4:$BA$1048576,Database!$AC$4:$AC$1048576,$I$3,Database!$AE$4:$AE$1048576,{"JK1","JK3","BDG","SMG","BGR","YOG","SLO","CRB","PWK","BKS","KDS","TGL","TSK","SKI","BD2"},Database!$BA$4:$BA$1048576,"=4",Database!$AG$4:$AG$1048576,"Apotek")),IF($I$5="Rumah Sakit",SUM(SUMIFS(Database!$BA$4:$BA$1048576,Database!$AC$4:$AC$1048576,$I$3,Database!$AE$4:$AE$1048576,{"JK1","JK3","BDG","SMG","BGR","YOG","SLO","CRB","PWK","BKS","KDS","TGL","TSK","SKI","BD2"},Database!$BA$4:$BA$1048576,"=4",Database!$AG$4:$AG$1048576,"Rumah sakit")),IF($I$5="Subdis",SUM(SUMIFS(Database!$BA$4:$BA$1048576,Database!$AC$4:$AC$1048576,$I$3,Database!$AE$4:$AE$1048576,{"JK1","JK3","BDG","SMG","BGR","YOG","SLO","CRB","PWK","BKS","KDS","TGL","TSK","SKI","BD2"},Database!$BA$4:$BA$1048576,"=4",Database!$AG$4:$AG$1048576,"Subdis")),0)))),IF($I$4="Timur",IF($I$5="All",SUM(SUMIFS(Database!$BA$4:$BA$1048576,Database!$AC$4:$AC$1048576,$I$3,Database!$AE$4:$AE$1048576,{"SB1","SB2","BMS","MKS","DPS","KDR","MLG","SMD","PTK","JBR","MNO","JPU","MTR","BPP","KPG","PLU"},Database!$BA$4:$BA$1048576,"=4")),IF($I$5="Apotek",SUM(SUMIFS(Database!$BA$4:$BA$1048576,Database!$AC$4:$AC$1048576,$I$3,Database!$AE$4:$AE$1048576,{"SB1","SB2","BMS","MKS","DPS","KDR","MLG","SMD","PTK","JBR","MNO","JPU","MTR","BPP","KPG","PLU"},Database!$BA$4:$BA$1048576,"=4",Database!$AG$4:$AG$1048576,"Apotek")),IF($I$5="Rumah Sakit",SUM(SUMIFS(Database!$BA$4:$BA$1048576,Database!$AC$4:$AC$1048576,$I$3,Database!$AE$4:$AE$1048576,{"SB1","SB2","BMS","MKS","DPS","KDR","MLG","SMD","PTK","JBR","MNO","JPU","MTR","BPP","KPG","PLU"},Database!$BA$4:$BA$1048576,"=4",Database!$AG$4:$AG$1048576,"Rumah sakit")),IF($I$5="Subdis",SUM(SUMIFS(Database!$BA$4:$BA$1048576,Database!$AC$4:$AC$1048576,$I$3,Database!$AE$4:$AE$1048576,{"SB1","SB2","BMS","MKS","DPS","KDR","MLG","SMD","PTK","JBR","MNO","JPU","MTR","BPP","KPG","PLU"},Database!$BA$4:$BA$1048576,"=4",Database!$AG$4:$AG$1048576,"Subdis")),0)))))))/$E$8</f>
        <v>0</v>
      </c>
      <c r="L28" s="9">
        <f t="shared" si="1"/>
        <v>0</v>
      </c>
      <c r="M28" s="10" t="e">
        <f t="shared" si="2"/>
        <v>#DIV/0!</v>
      </c>
      <c r="N28" s="10" t="e">
        <f t="shared" si="3"/>
        <v>#DIV/0!</v>
      </c>
      <c r="O28" s="32" t="e">
        <f t="shared" si="4"/>
        <v>#DIV/0!</v>
      </c>
      <c r="P28" s="11" t="s">
        <v>63</v>
      </c>
      <c r="Q28" s="32" t="e">
        <f t="shared" si="18"/>
        <v>#DIV/0!</v>
      </c>
      <c r="R28" s="81" t="e">
        <f t="shared" si="6"/>
        <v>#DIV/0!</v>
      </c>
      <c r="S28" s="81" t="e">
        <f t="shared" si="7"/>
        <v>#DIV/0!</v>
      </c>
      <c r="T28" s="81" t="e">
        <f t="shared" si="19"/>
        <v>#DIV/0!</v>
      </c>
      <c r="U28" s="81" t="e">
        <f t="shared" si="20"/>
        <v>#DIV/0!</v>
      </c>
      <c r="V28" s="253"/>
    </row>
    <row r="29" spans="1:22" x14ac:dyDescent="0.3">
      <c r="A29" s="16" t="s">
        <v>64</v>
      </c>
      <c r="B29" s="13">
        <f t="shared" ref="B29:D29" si="21">AVERAGE(B9:B28)</f>
        <v>0</v>
      </c>
      <c r="C29" s="13">
        <f t="shared" si="21"/>
        <v>0</v>
      </c>
      <c r="D29" s="13">
        <f t="shared" si="21"/>
        <v>0</v>
      </c>
      <c r="E29" s="13">
        <f>AVERAGE(E9:E28)</f>
        <v>0</v>
      </c>
      <c r="F29" s="9">
        <f>AVERAGE(F9:F28)</f>
        <v>0</v>
      </c>
      <c r="G29" s="10" t="e">
        <f>AVERAGE(G9:G28)</f>
        <v>#DIV/0!</v>
      </c>
      <c r="H29" s="13">
        <f>AVERAGE(H9:H28)</f>
        <v>0</v>
      </c>
      <c r="I29" s="13">
        <f t="shared" ref="I29:K29" si="22">AVERAGE(I9:I28)</f>
        <v>0</v>
      </c>
      <c r="J29" s="13">
        <f t="shared" si="22"/>
        <v>0</v>
      </c>
      <c r="K29" s="13">
        <f t="shared" si="22"/>
        <v>0</v>
      </c>
      <c r="L29" s="31">
        <f>AVERAGE(L9:L28)</f>
        <v>0</v>
      </c>
      <c r="M29" s="10" t="e">
        <f>AVERAGE(M9:M28)</f>
        <v>#DIV/0!</v>
      </c>
      <c r="N29" s="10" t="e">
        <f>AVERAGE(N9:N28)</f>
        <v>#DIV/0!</v>
      </c>
      <c r="O29" s="279"/>
      <c r="P29" s="14"/>
    </row>
    <row r="30" spans="1:22" ht="18" x14ac:dyDescent="0.35">
      <c r="A30" s="15"/>
      <c r="B30" s="280" t="s">
        <v>65</v>
      </c>
      <c r="C30" s="281"/>
      <c r="D30" s="281"/>
      <c r="E30" s="281"/>
      <c r="F30" s="30">
        <f>+SUM(B29:E29)</f>
        <v>0</v>
      </c>
      <c r="G30" s="17"/>
      <c r="H30" s="281" t="s">
        <v>65</v>
      </c>
      <c r="I30" s="281"/>
      <c r="J30" s="281"/>
      <c r="K30" s="281"/>
      <c r="L30" s="30">
        <f>+SUM(H29:K29)</f>
        <v>0</v>
      </c>
      <c r="M30" s="17"/>
      <c r="N30" s="17"/>
      <c r="O30" s="279"/>
      <c r="P30" s="14"/>
    </row>
    <row r="31" spans="1:22" ht="23.25" x14ac:dyDescent="0.35">
      <c r="A31" s="18" t="s">
        <v>66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282" t="e">
        <f>G29/M29*100</f>
        <v>#DIV/0!</v>
      </c>
      <c r="M31" s="282"/>
      <c r="N31" s="19"/>
      <c r="O31" s="20"/>
      <c r="P31" s="14"/>
    </row>
    <row r="32" spans="1:22" x14ac:dyDescent="0.3">
      <c r="A32" s="150"/>
      <c r="B32" s="150"/>
      <c r="C32" s="150"/>
      <c r="D32" s="150"/>
      <c r="E32" s="150"/>
      <c r="F32" s="153"/>
      <c r="G32" s="153"/>
      <c r="H32" s="153"/>
      <c r="I32" s="153"/>
      <c r="J32" s="153"/>
      <c r="K32" s="153"/>
      <c r="L32" s="150"/>
      <c r="M32" s="150"/>
      <c r="N32" s="150"/>
      <c r="O32" s="151"/>
      <c r="P32" s="151"/>
    </row>
    <row r="33" spans="1:16" x14ac:dyDescent="0.3">
      <c r="A33" s="150"/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1"/>
      <c r="P33" s="151"/>
    </row>
    <row r="34" spans="1:16" x14ac:dyDescent="0.3">
      <c r="A34" s="150"/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1"/>
      <c r="P34" s="151"/>
    </row>
  </sheetData>
  <mergeCells count="27">
    <mergeCell ref="V20:V22"/>
    <mergeCell ref="V23:V28"/>
    <mergeCell ref="Q7:Q8"/>
    <mergeCell ref="V7:V8"/>
    <mergeCell ref="V9:V12"/>
    <mergeCell ref="V13:V14"/>
    <mergeCell ref="V15:V19"/>
    <mergeCell ref="R7:R8"/>
    <mergeCell ref="S7:S8"/>
    <mergeCell ref="T7:T8"/>
    <mergeCell ref="U7:U8"/>
    <mergeCell ref="P7:P8"/>
    <mergeCell ref="O29:O30"/>
    <mergeCell ref="B30:E30"/>
    <mergeCell ref="H30:K30"/>
    <mergeCell ref="L31:M31"/>
    <mergeCell ref="O7:O8"/>
    <mergeCell ref="A5:H5"/>
    <mergeCell ref="I5:L5"/>
    <mergeCell ref="A7:A8"/>
    <mergeCell ref="B7:G7"/>
    <mergeCell ref="H7:M7"/>
    <mergeCell ref="A2:O2"/>
    <mergeCell ref="A3:H3"/>
    <mergeCell ref="I3:L3"/>
    <mergeCell ref="A4:H4"/>
    <mergeCell ref="I4:L4"/>
  </mergeCells>
  <conditionalFormatting sqref="B8:E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8:K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9:G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9:M2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N2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9:O28">
    <cfRule type="cellIs" dxfId="21" priority="8" operator="notBetween">
      <formula>0</formula>
      <formula>3</formula>
    </cfRule>
  </conditionalFormatting>
  <conditionalFormatting sqref="Q9:Q28">
    <cfRule type="cellIs" dxfId="20" priority="7" operator="greaterThan">
      <formula>1</formula>
    </cfRule>
  </conditionalFormatting>
  <conditionalFormatting sqref="T9:U28">
    <cfRule type="cellIs" dxfId="19" priority="2" operator="greaterThan">
      <formula>1</formula>
    </cfRule>
  </conditionalFormatting>
  <conditionalFormatting sqref="R9:S28">
    <cfRule type="cellIs" dxfId="18" priority="1" operator="greaterThan">
      <formula>3</formula>
    </cfRule>
  </conditionalFormatting>
  <dataValidations count="5">
    <dataValidation type="list" allowBlank="1" showInputMessage="1" showErrorMessage="1" promptTitle="Regional" prompt="Menampilkan hasil survei berdasarkan regional" sqref="I4:L4">
      <formula1>Region</formula1>
    </dataValidation>
    <dataValidation type="list" allowBlank="1" showInputMessage="1" showErrorMessage="1" promptTitle="Channel" prompt="Menampilkan hasil survei berdasarkan channel." sqref="I5:L5">
      <formula1>pilihan_channel</formula1>
    </dataValidation>
    <dataValidation type="list" allowBlank="1" showInputMessage="1" showErrorMessage="1" promptTitle="Periode" prompt="Menampilkan hasil survei berdasarkan periode survei." sqref="I3:L3">
      <formula1>Kuisioner_ke</formula1>
    </dataValidation>
    <dataValidation allowBlank="1" showInputMessage="1" showErrorMessage="1" promptTitle="Keterangan" prompt="Jangan lakukan perubahan disini" sqref="A7:O31"/>
    <dataValidation allowBlank="1" showInputMessage="1" showErrorMessage="1" promptTitle="Keterangan" prompt="Aspek yang disurvei" sqref="P7:P28"/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3"/>
  <sheetViews>
    <sheetView workbookViewId="0">
      <selection activeCell="N7" sqref="N7"/>
    </sheetView>
  </sheetViews>
  <sheetFormatPr defaultRowHeight="15" x14ac:dyDescent="0.3"/>
  <cols>
    <col min="1" max="1" width="8.85546875" style="2" customWidth="1"/>
    <col min="2" max="3" width="6.28515625" style="2" customWidth="1"/>
    <col min="4" max="4" width="7.7109375" style="2" bestFit="1" customWidth="1"/>
    <col min="5" max="5" width="6.28515625" style="2" customWidth="1"/>
    <col min="6" max="6" width="7.7109375" style="2" customWidth="1"/>
    <col min="7" max="7" width="9.28515625" style="2" customWidth="1"/>
    <col min="8" max="8" width="8.85546875" style="2" customWidth="1"/>
    <col min="9" max="9" width="9.140625" style="2" customWidth="1"/>
    <col min="10" max="12" width="7.7109375" style="2" customWidth="1"/>
    <col min="13" max="13" width="8.140625" style="2" customWidth="1"/>
    <col min="14" max="14" width="11.28515625" style="2" customWidth="1"/>
    <col min="15" max="15" width="14.28515625" style="3" customWidth="1"/>
    <col min="16" max="16" width="75.140625" style="4" customWidth="1"/>
    <col min="17" max="17" width="14.28515625" style="3" customWidth="1"/>
    <col min="18" max="19" width="12.5703125" style="3" customWidth="1"/>
    <col min="20" max="20" width="12.85546875" style="3" customWidth="1"/>
    <col min="21" max="21" width="11.42578125" style="3" customWidth="1"/>
    <col min="22" max="22" width="25.85546875" style="3" bestFit="1" customWidth="1"/>
    <col min="23" max="254" width="9.140625" style="3"/>
    <col min="255" max="255" width="9.28515625" style="3" customWidth="1"/>
    <col min="256" max="258" width="5.28515625" style="3" customWidth="1"/>
    <col min="259" max="259" width="7.7109375" style="3" bestFit="1" customWidth="1"/>
    <col min="260" max="260" width="7.7109375" style="3" customWidth="1"/>
    <col min="261" max="261" width="9.28515625" style="3" customWidth="1"/>
    <col min="262" max="262" width="6.85546875" style="3" customWidth="1"/>
    <col min="263" max="263" width="5.28515625" style="3" customWidth="1"/>
    <col min="264" max="264" width="5.7109375" style="3" customWidth="1"/>
    <col min="265" max="265" width="6.140625" style="3" customWidth="1"/>
    <col min="266" max="266" width="7.7109375" style="3" customWidth="1"/>
    <col min="267" max="267" width="8.140625" style="3" bestFit="1" customWidth="1"/>
    <col min="268" max="268" width="11.28515625" style="3" bestFit="1" customWidth="1"/>
    <col min="269" max="269" width="14.28515625" style="3" customWidth="1"/>
    <col min="270" max="270" width="79.42578125" style="3" customWidth="1"/>
    <col min="271" max="510" width="9.140625" style="3"/>
    <col min="511" max="511" width="9.28515625" style="3" customWidth="1"/>
    <col min="512" max="514" width="5.28515625" style="3" customWidth="1"/>
    <col min="515" max="515" width="7.7109375" style="3" bestFit="1" customWidth="1"/>
    <col min="516" max="516" width="7.7109375" style="3" customWidth="1"/>
    <col min="517" max="517" width="9.28515625" style="3" customWidth="1"/>
    <col min="518" max="518" width="6.85546875" style="3" customWidth="1"/>
    <col min="519" max="519" width="5.28515625" style="3" customWidth="1"/>
    <col min="520" max="520" width="5.7109375" style="3" customWidth="1"/>
    <col min="521" max="521" width="6.140625" style="3" customWidth="1"/>
    <col min="522" max="522" width="7.7109375" style="3" customWidth="1"/>
    <col min="523" max="523" width="8.140625" style="3" bestFit="1" customWidth="1"/>
    <col min="524" max="524" width="11.28515625" style="3" bestFit="1" customWidth="1"/>
    <col min="525" max="525" width="14.28515625" style="3" customWidth="1"/>
    <col min="526" max="526" width="79.42578125" style="3" customWidth="1"/>
    <col min="527" max="766" width="9.140625" style="3"/>
    <col min="767" max="767" width="9.28515625" style="3" customWidth="1"/>
    <col min="768" max="770" width="5.28515625" style="3" customWidth="1"/>
    <col min="771" max="771" width="7.7109375" style="3" bestFit="1" customWidth="1"/>
    <col min="772" max="772" width="7.7109375" style="3" customWidth="1"/>
    <col min="773" max="773" width="9.28515625" style="3" customWidth="1"/>
    <col min="774" max="774" width="6.85546875" style="3" customWidth="1"/>
    <col min="775" max="775" width="5.28515625" style="3" customWidth="1"/>
    <col min="776" max="776" width="5.7109375" style="3" customWidth="1"/>
    <col min="777" max="777" width="6.140625" style="3" customWidth="1"/>
    <col min="778" max="778" width="7.7109375" style="3" customWidth="1"/>
    <col min="779" max="779" width="8.140625" style="3" bestFit="1" customWidth="1"/>
    <col min="780" max="780" width="11.28515625" style="3" bestFit="1" customWidth="1"/>
    <col min="781" max="781" width="14.28515625" style="3" customWidth="1"/>
    <col min="782" max="782" width="79.42578125" style="3" customWidth="1"/>
    <col min="783" max="1022" width="9.140625" style="3"/>
    <col min="1023" max="1023" width="9.28515625" style="3" customWidth="1"/>
    <col min="1024" max="1026" width="5.28515625" style="3" customWidth="1"/>
    <col min="1027" max="1027" width="7.7109375" style="3" bestFit="1" customWidth="1"/>
    <col min="1028" max="1028" width="7.7109375" style="3" customWidth="1"/>
    <col min="1029" max="1029" width="9.28515625" style="3" customWidth="1"/>
    <col min="1030" max="1030" width="6.85546875" style="3" customWidth="1"/>
    <col min="1031" max="1031" width="5.28515625" style="3" customWidth="1"/>
    <col min="1032" max="1032" width="5.7109375" style="3" customWidth="1"/>
    <col min="1033" max="1033" width="6.140625" style="3" customWidth="1"/>
    <col min="1034" max="1034" width="7.7109375" style="3" customWidth="1"/>
    <col min="1035" max="1035" width="8.140625" style="3" bestFit="1" customWidth="1"/>
    <col min="1036" max="1036" width="11.28515625" style="3" bestFit="1" customWidth="1"/>
    <col min="1037" max="1037" width="14.28515625" style="3" customWidth="1"/>
    <col min="1038" max="1038" width="79.42578125" style="3" customWidth="1"/>
    <col min="1039" max="1278" width="9.140625" style="3"/>
    <col min="1279" max="1279" width="9.28515625" style="3" customWidth="1"/>
    <col min="1280" max="1282" width="5.28515625" style="3" customWidth="1"/>
    <col min="1283" max="1283" width="7.7109375" style="3" bestFit="1" customWidth="1"/>
    <col min="1284" max="1284" width="7.7109375" style="3" customWidth="1"/>
    <col min="1285" max="1285" width="9.28515625" style="3" customWidth="1"/>
    <col min="1286" max="1286" width="6.85546875" style="3" customWidth="1"/>
    <col min="1287" max="1287" width="5.28515625" style="3" customWidth="1"/>
    <col min="1288" max="1288" width="5.7109375" style="3" customWidth="1"/>
    <col min="1289" max="1289" width="6.140625" style="3" customWidth="1"/>
    <col min="1290" max="1290" width="7.7109375" style="3" customWidth="1"/>
    <col min="1291" max="1291" width="8.140625" style="3" bestFit="1" customWidth="1"/>
    <col min="1292" max="1292" width="11.28515625" style="3" bestFit="1" customWidth="1"/>
    <col min="1293" max="1293" width="14.28515625" style="3" customWidth="1"/>
    <col min="1294" max="1294" width="79.42578125" style="3" customWidth="1"/>
    <col min="1295" max="1534" width="9.140625" style="3"/>
    <col min="1535" max="1535" width="9.28515625" style="3" customWidth="1"/>
    <col min="1536" max="1538" width="5.28515625" style="3" customWidth="1"/>
    <col min="1539" max="1539" width="7.7109375" style="3" bestFit="1" customWidth="1"/>
    <col min="1540" max="1540" width="7.7109375" style="3" customWidth="1"/>
    <col min="1541" max="1541" width="9.28515625" style="3" customWidth="1"/>
    <col min="1542" max="1542" width="6.85546875" style="3" customWidth="1"/>
    <col min="1543" max="1543" width="5.28515625" style="3" customWidth="1"/>
    <col min="1544" max="1544" width="5.7109375" style="3" customWidth="1"/>
    <col min="1545" max="1545" width="6.140625" style="3" customWidth="1"/>
    <col min="1546" max="1546" width="7.7109375" style="3" customWidth="1"/>
    <col min="1547" max="1547" width="8.140625" style="3" bestFit="1" customWidth="1"/>
    <col min="1548" max="1548" width="11.28515625" style="3" bestFit="1" customWidth="1"/>
    <col min="1549" max="1549" width="14.28515625" style="3" customWidth="1"/>
    <col min="1550" max="1550" width="79.42578125" style="3" customWidth="1"/>
    <col min="1551" max="1790" width="9.140625" style="3"/>
    <col min="1791" max="1791" width="9.28515625" style="3" customWidth="1"/>
    <col min="1792" max="1794" width="5.28515625" style="3" customWidth="1"/>
    <col min="1795" max="1795" width="7.7109375" style="3" bestFit="1" customWidth="1"/>
    <col min="1796" max="1796" width="7.7109375" style="3" customWidth="1"/>
    <col min="1797" max="1797" width="9.28515625" style="3" customWidth="1"/>
    <col min="1798" max="1798" width="6.85546875" style="3" customWidth="1"/>
    <col min="1799" max="1799" width="5.28515625" style="3" customWidth="1"/>
    <col min="1800" max="1800" width="5.7109375" style="3" customWidth="1"/>
    <col min="1801" max="1801" width="6.140625" style="3" customWidth="1"/>
    <col min="1802" max="1802" width="7.7109375" style="3" customWidth="1"/>
    <col min="1803" max="1803" width="8.140625" style="3" bestFit="1" customWidth="1"/>
    <col min="1804" max="1804" width="11.28515625" style="3" bestFit="1" customWidth="1"/>
    <col min="1805" max="1805" width="14.28515625" style="3" customWidth="1"/>
    <col min="1806" max="1806" width="79.42578125" style="3" customWidth="1"/>
    <col min="1807" max="2046" width="9.140625" style="3"/>
    <col min="2047" max="2047" width="9.28515625" style="3" customWidth="1"/>
    <col min="2048" max="2050" width="5.28515625" style="3" customWidth="1"/>
    <col min="2051" max="2051" width="7.7109375" style="3" bestFit="1" customWidth="1"/>
    <col min="2052" max="2052" width="7.7109375" style="3" customWidth="1"/>
    <col min="2053" max="2053" width="9.28515625" style="3" customWidth="1"/>
    <col min="2054" max="2054" width="6.85546875" style="3" customWidth="1"/>
    <col min="2055" max="2055" width="5.28515625" style="3" customWidth="1"/>
    <col min="2056" max="2056" width="5.7109375" style="3" customWidth="1"/>
    <col min="2057" max="2057" width="6.140625" style="3" customWidth="1"/>
    <col min="2058" max="2058" width="7.7109375" style="3" customWidth="1"/>
    <col min="2059" max="2059" width="8.140625" style="3" bestFit="1" customWidth="1"/>
    <col min="2060" max="2060" width="11.28515625" style="3" bestFit="1" customWidth="1"/>
    <col min="2061" max="2061" width="14.28515625" style="3" customWidth="1"/>
    <col min="2062" max="2062" width="79.42578125" style="3" customWidth="1"/>
    <col min="2063" max="2302" width="9.140625" style="3"/>
    <col min="2303" max="2303" width="9.28515625" style="3" customWidth="1"/>
    <col min="2304" max="2306" width="5.28515625" style="3" customWidth="1"/>
    <col min="2307" max="2307" width="7.7109375" style="3" bestFit="1" customWidth="1"/>
    <col min="2308" max="2308" width="7.7109375" style="3" customWidth="1"/>
    <col min="2309" max="2309" width="9.28515625" style="3" customWidth="1"/>
    <col min="2310" max="2310" width="6.85546875" style="3" customWidth="1"/>
    <col min="2311" max="2311" width="5.28515625" style="3" customWidth="1"/>
    <col min="2312" max="2312" width="5.7109375" style="3" customWidth="1"/>
    <col min="2313" max="2313" width="6.140625" style="3" customWidth="1"/>
    <col min="2314" max="2314" width="7.7109375" style="3" customWidth="1"/>
    <col min="2315" max="2315" width="8.140625" style="3" bestFit="1" customWidth="1"/>
    <col min="2316" max="2316" width="11.28515625" style="3" bestFit="1" customWidth="1"/>
    <col min="2317" max="2317" width="14.28515625" style="3" customWidth="1"/>
    <col min="2318" max="2318" width="79.42578125" style="3" customWidth="1"/>
    <col min="2319" max="2558" width="9.140625" style="3"/>
    <col min="2559" max="2559" width="9.28515625" style="3" customWidth="1"/>
    <col min="2560" max="2562" width="5.28515625" style="3" customWidth="1"/>
    <col min="2563" max="2563" width="7.7109375" style="3" bestFit="1" customWidth="1"/>
    <col min="2564" max="2564" width="7.7109375" style="3" customWidth="1"/>
    <col min="2565" max="2565" width="9.28515625" style="3" customWidth="1"/>
    <col min="2566" max="2566" width="6.85546875" style="3" customWidth="1"/>
    <col min="2567" max="2567" width="5.28515625" style="3" customWidth="1"/>
    <col min="2568" max="2568" width="5.7109375" style="3" customWidth="1"/>
    <col min="2569" max="2569" width="6.140625" style="3" customWidth="1"/>
    <col min="2570" max="2570" width="7.7109375" style="3" customWidth="1"/>
    <col min="2571" max="2571" width="8.140625" style="3" bestFit="1" customWidth="1"/>
    <col min="2572" max="2572" width="11.28515625" style="3" bestFit="1" customWidth="1"/>
    <col min="2573" max="2573" width="14.28515625" style="3" customWidth="1"/>
    <col min="2574" max="2574" width="79.42578125" style="3" customWidth="1"/>
    <col min="2575" max="2814" width="9.140625" style="3"/>
    <col min="2815" max="2815" width="9.28515625" style="3" customWidth="1"/>
    <col min="2816" max="2818" width="5.28515625" style="3" customWidth="1"/>
    <col min="2819" max="2819" width="7.7109375" style="3" bestFit="1" customWidth="1"/>
    <col min="2820" max="2820" width="7.7109375" style="3" customWidth="1"/>
    <col min="2821" max="2821" width="9.28515625" style="3" customWidth="1"/>
    <col min="2822" max="2822" width="6.85546875" style="3" customWidth="1"/>
    <col min="2823" max="2823" width="5.28515625" style="3" customWidth="1"/>
    <col min="2824" max="2824" width="5.7109375" style="3" customWidth="1"/>
    <col min="2825" max="2825" width="6.140625" style="3" customWidth="1"/>
    <col min="2826" max="2826" width="7.7109375" style="3" customWidth="1"/>
    <col min="2827" max="2827" width="8.140625" style="3" bestFit="1" customWidth="1"/>
    <col min="2828" max="2828" width="11.28515625" style="3" bestFit="1" customWidth="1"/>
    <col min="2829" max="2829" width="14.28515625" style="3" customWidth="1"/>
    <col min="2830" max="2830" width="79.42578125" style="3" customWidth="1"/>
    <col min="2831" max="3070" width="9.140625" style="3"/>
    <col min="3071" max="3071" width="9.28515625" style="3" customWidth="1"/>
    <col min="3072" max="3074" width="5.28515625" style="3" customWidth="1"/>
    <col min="3075" max="3075" width="7.7109375" style="3" bestFit="1" customWidth="1"/>
    <col min="3076" max="3076" width="7.7109375" style="3" customWidth="1"/>
    <col min="3077" max="3077" width="9.28515625" style="3" customWidth="1"/>
    <col min="3078" max="3078" width="6.85546875" style="3" customWidth="1"/>
    <col min="3079" max="3079" width="5.28515625" style="3" customWidth="1"/>
    <col min="3080" max="3080" width="5.7109375" style="3" customWidth="1"/>
    <col min="3081" max="3081" width="6.140625" style="3" customWidth="1"/>
    <col min="3082" max="3082" width="7.7109375" style="3" customWidth="1"/>
    <col min="3083" max="3083" width="8.140625" style="3" bestFit="1" customWidth="1"/>
    <col min="3084" max="3084" width="11.28515625" style="3" bestFit="1" customWidth="1"/>
    <col min="3085" max="3085" width="14.28515625" style="3" customWidth="1"/>
    <col min="3086" max="3086" width="79.42578125" style="3" customWidth="1"/>
    <col min="3087" max="3326" width="9.140625" style="3"/>
    <col min="3327" max="3327" width="9.28515625" style="3" customWidth="1"/>
    <col min="3328" max="3330" width="5.28515625" style="3" customWidth="1"/>
    <col min="3331" max="3331" width="7.7109375" style="3" bestFit="1" customWidth="1"/>
    <col min="3332" max="3332" width="7.7109375" style="3" customWidth="1"/>
    <col min="3333" max="3333" width="9.28515625" style="3" customWidth="1"/>
    <col min="3334" max="3334" width="6.85546875" style="3" customWidth="1"/>
    <col min="3335" max="3335" width="5.28515625" style="3" customWidth="1"/>
    <col min="3336" max="3336" width="5.7109375" style="3" customWidth="1"/>
    <col min="3337" max="3337" width="6.140625" style="3" customWidth="1"/>
    <col min="3338" max="3338" width="7.7109375" style="3" customWidth="1"/>
    <col min="3339" max="3339" width="8.140625" style="3" bestFit="1" customWidth="1"/>
    <col min="3340" max="3340" width="11.28515625" style="3" bestFit="1" customWidth="1"/>
    <col min="3341" max="3341" width="14.28515625" style="3" customWidth="1"/>
    <col min="3342" max="3342" width="79.42578125" style="3" customWidth="1"/>
    <col min="3343" max="3582" width="9.140625" style="3"/>
    <col min="3583" max="3583" width="9.28515625" style="3" customWidth="1"/>
    <col min="3584" max="3586" width="5.28515625" style="3" customWidth="1"/>
    <col min="3587" max="3587" width="7.7109375" style="3" bestFit="1" customWidth="1"/>
    <col min="3588" max="3588" width="7.7109375" style="3" customWidth="1"/>
    <col min="3589" max="3589" width="9.28515625" style="3" customWidth="1"/>
    <col min="3590" max="3590" width="6.85546875" style="3" customWidth="1"/>
    <col min="3591" max="3591" width="5.28515625" style="3" customWidth="1"/>
    <col min="3592" max="3592" width="5.7109375" style="3" customWidth="1"/>
    <col min="3593" max="3593" width="6.140625" style="3" customWidth="1"/>
    <col min="3594" max="3594" width="7.7109375" style="3" customWidth="1"/>
    <col min="3595" max="3595" width="8.140625" style="3" bestFit="1" customWidth="1"/>
    <col min="3596" max="3596" width="11.28515625" style="3" bestFit="1" customWidth="1"/>
    <col min="3597" max="3597" width="14.28515625" style="3" customWidth="1"/>
    <col min="3598" max="3598" width="79.42578125" style="3" customWidth="1"/>
    <col min="3599" max="3838" width="9.140625" style="3"/>
    <col min="3839" max="3839" width="9.28515625" style="3" customWidth="1"/>
    <col min="3840" max="3842" width="5.28515625" style="3" customWidth="1"/>
    <col min="3843" max="3843" width="7.7109375" style="3" bestFit="1" customWidth="1"/>
    <col min="3844" max="3844" width="7.7109375" style="3" customWidth="1"/>
    <col min="3845" max="3845" width="9.28515625" style="3" customWidth="1"/>
    <col min="3846" max="3846" width="6.85546875" style="3" customWidth="1"/>
    <col min="3847" max="3847" width="5.28515625" style="3" customWidth="1"/>
    <col min="3848" max="3848" width="5.7109375" style="3" customWidth="1"/>
    <col min="3849" max="3849" width="6.140625" style="3" customWidth="1"/>
    <col min="3850" max="3850" width="7.7109375" style="3" customWidth="1"/>
    <col min="3851" max="3851" width="8.140625" style="3" bestFit="1" customWidth="1"/>
    <col min="3852" max="3852" width="11.28515625" style="3" bestFit="1" customWidth="1"/>
    <col min="3853" max="3853" width="14.28515625" style="3" customWidth="1"/>
    <col min="3854" max="3854" width="79.42578125" style="3" customWidth="1"/>
    <col min="3855" max="4094" width="9.140625" style="3"/>
    <col min="4095" max="4095" width="9.28515625" style="3" customWidth="1"/>
    <col min="4096" max="4098" width="5.28515625" style="3" customWidth="1"/>
    <col min="4099" max="4099" width="7.7109375" style="3" bestFit="1" customWidth="1"/>
    <col min="4100" max="4100" width="7.7109375" style="3" customWidth="1"/>
    <col min="4101" max="4101" width="9.28515625" style="3" customWidth="1"/>
    <col min="4102" max="4102" width="6.85546875" style="3" customWidth="1"/>
    <col min="4103" max="4103" width="5.28515625" style="3" customWidth="1"/>
    <col min="4104" max="4104" width="5.7109375" style="3" customWidth="1"/>
    <col min="4105" max="4105" width="6.140625" style="3" customWidth="1"/>
    <col min="4106" max="4106" width="7.7109375" style="3" customWidth="1"/>
    <col min="4107" max="4107" width="8.140625" style="3" bestFit="1" customWidth="1"/>
    <col min="4108" max="4108" width="11.28515625" style="3" bestFit="1" customWidth="1"/>
    <col min="4109" max="4109" width="14.28515625" style="3" customWidth="1"/>
    <col min="4110" max="4110" width="79.42578125" style="3" customWidth="1"/>
    <col min="4111" max="4350" width="9.140625" style="3"/>
    <col min="4351" max="4351" width="9.28515625" style="3" customWidth="1"/>
    <col min="4352" max="4354" width="5.28515625" style="3" customWidth="1"/>
    <col min="4355" max="4355" width="7.7109375" style="3" bestFit="1" customWidth="1"/>
    <col min="4356" max="4356" width="7.7109375" style="3" customWidth="1"/>
    <col min="4357" max="4357" width="9.28515625" style="3" customWidth="1"/>
    <col min="4358" max="4358" width="6.85546875" style="3" customWidth="1"/>
    <col min="4359" max="4359" width="5.28515625" style="3" customWidth="1"/>
    <col min="4360" max="4360" width="5.7109375" style="3" customWidth="1"/>
    <col min="4361" max="4361" width="6.140625" style="3" customWidth="1"/>
    <col min="4362" max="4362" width="7.7109375" style="3" customWidth="1"/>
    <col min="4363" max="4363" width="8.140625" style="3" bestFit="1" customWidth="1"/>
    <col min="4364" max="4364" width="11.28515625" style="3" bestFit="1" customWidth="1"/>
    <col min="4365" max="4365" width="14.28515625" style="3" customWidth="1"/>
    <col min="4366" max="4366" width="79.42578125" style="3" customWidth="1"/>
    <col min="4367" max="4606" width="9.140625" style="3"/>
    <col min="4607" max="4607" width="9.28515625" style="3" customWidth="1"/>
    <col min="4608" max="4610" width="5.28515625" style="3" customWidth="1"/>
    <col min="4611" max="4611" width="7.7109375" style="3" bestFit="1" customWidth="1"/>
    <col min="4612" max="4612" width="7.7109375" style="3" customWidth="1"/>
    <col min="4613" max="4613" width="9.28515625" style="3" customWidth="1"/>
    <col min="4614" max="4614" width="6.85546875" style="3" customWidth="1"/>
    <col min="4615" max="4615" width="5.28515625" style="3" customWidth="1"/>
    <col min="4616" max="4616" width="5.7109375" style="3" customWidth="1"/>
    <col min="4617" max="4617" width="6.140625" style="3" customWidth="1"/>
    <col min="4618" max="4618" width="7.7109375" style="3" customWidth="1"/>
    <col min="4619" max="4619" width="8.140625" style="3" bestFit="1" customWidth="1"/>
    <col min="4620" max="4620" width="11.28515625" style="3" bestFit="1" customWidth="1"/>
    <col min="4621" max="4621" width="14.28515625" style="3" customWidth="1"/>
    <col min="4622" max="4622" width="79.42578125" style="3" customWidth="1"/>
    <col min="4623" max="4862" width="9.140625" style="3"/>
    <col min="4863" max="4863" width="9.28515625" style="3" customWidth="1"/>
    <col min="4864" max="4866" width="5.28515625" style="3" customWidth="1"/>
    <col min="4867" max="4867" width="7.7109375" style="3" bestFit="1" customWidth="1"/>
    <col min="4868" max="4868" width="7.7109375" style="3" customWidth="1"/>
    <col min="4869" max="4869" width="9.28515625" style="3" customWidth="1"/>
    <col min="4870" max="4870" width="6.85546875" style="3" customWidth="1"/>
    <col min="4871" max="4871" width="5.28515625" style="3" customWidth="1"/>
    <col min="4872" max="4872" width="5.7109375" style="3" customWidth="1"/>
    <col min="4873" max="4873" width="6.140625" style="3" customWidth="1"/>
    <col min="4874" max="4874" width="7.7109375" style="3" customWidth="1"/>
    <col min="4875" max="4875" width="8.140625" style="3" bestFit="1" customWidth="1"/>
    <col min="4876" max="4876" width="11.28515625" style="3" bestFit="1" customWidth="1"/>
    <col min="4877" max="4877" width="14.28515625" style="3" customWidth="1"/>
    <col min="4878" max="4878" width="79.42578125" style="3" customWidth="1"/>
    <col min="4879" max="5118" width="9.140625" style="3"/>
    <col min="5119" max="5119" width="9.28515625" style="3" customWidth="1"/>
    <col min="5120" max="5122" width="5.28515625" style="3" customWidth="1"/>
    <col min="5123" max="5123" width="7.7109375" style="3" bestFit="1" customWidth="1"/>
    <col min="5124" max="5124" width="7.7109375" style="3" customWidth="1"/>
    <col min="5125" max="5125" width="9.28515625" style="3" customWidth="1"/>
    <col min="5126" max="5126" width="6.85546875" style="3" customWidth="1"/>
    <col min="5127" max="5127" width="5.28515625" style="3" customWidth="1"/>
    <col min="5128" max="5128" width="5.7109375" style="3" customWidth="1"/>
    <col min="5129" max="5129" width="6.140625" style="3" customWidth="1"/>
    <col min="5130" max="5130" width="7.7109375" style="3" customWidth="1"/>
    <col min="5131" max="5131" width="8.140625" style="3" bestFit="1" customWidth="1"/>
    <col min="5132" max="5132" width="11.28515625" style="3" bestFit="1" customWidth="1"/>
    <col min="5133" max="5133" width="14.28515625" style="3" customWidth="1"/>
    <col min="5134" max="5134" width="79.42578125" style="3" customWidth="1"/>
    <col min="5135" max="5374" width="9.140625" style="3"/>
    <col min="5375" max="5375" width="9.28515625" style="3" customWidth="1"/>
    <col min="5376" max="5378" width="5.28515625" style="3" customWidth="1"/>
    <col min="5379" max="5379" width="7.7109375" style="3" bestFit="1" customWidth="1"/>
    <col min="5380" max="5380" width="7.7109375" style="3" customWidth="1"/>
    <col min="5381" max="5381" width="9.28515625" style="3" customWidth="1"/>
    <col min="5382" max="5382" width="6.85546875" style="3" customWidth="1"/>
    <col min="5383" max="5383" width="5.28515625" style="3" customWidth="1"/>
    <col min="5384" max="5384" width="5.7109375" style="3" customWidth="1"/>
    <col min="5385" max="5385" width="6.140625" style="3" customWidth="1"/>
    <col min="5386" max="5386" width="7.7109375" style="3" customWidth="1"/>
    <col min="5387" max="5387" width="8.140625" style="3" bestFit="1" customWidth="1"/>
    <col min="5388" max="5388" width="11.28515625" style="3" bestFit="1" customWidth="1"/>
    <col min="5389" max="5389" width="14.28515625" style="3" customWidth="1"/>
    <col min="5390" max="5390" width="79.42578125" style="3" customWidth="1"/>
    <col min="5391" max="5630" width="9.140625" style="3"/>
    <col min="5631" max="5631" width="9.28515625" style="3" customWidth="1"/>
    <col min="5632" max="5634" width="5.28515625" style="3" customWidth="1"/>
    <col min="5635" max="5635" width="7.7109375" style="3" bestFit="1" customWidth="1"/>
    <col min="5636" max="5636" width="7.7109375" style="3" customWidth="1"/>
    <col min="5637" max="5637" width="9.28515625" style="3" customWidth="1"/>
    <col min="5638" max="5638" width="6.85546875" style="3" customWidth="1"/>
    <col min="5639" max="5639" width="5.28515625" style="3" customWidth="1"/>
    <col min="5640" max="5640" width="5.7109375" style="3" customWidth="1"/>
    <col min="5641" max="5641" width="6.140625" style="3" customWidth="1"/>
    <col min="5642" max="5642" width="7.7109375" style="3" customWidth="1"/>
    <col min="5643" max="5643" width="8.140625" style="3" bestFit="1" customWidth="1"/>
    <col min="5644" max="5644" width="11.28515625" style="3" bestFit="1" customWidth="1"/>
    <col min="5645" max="5645" width="14.28515625" style="3" customWidth="1"/>
    <col min="5646" max="5646" width="79.42578125" style="3" customWidth="1"/>
    <col min="5647" max="5886" width="9.140625" style="3"/>
    <col min="5887" max="5887" width="9.28515625" style="3" customWidth="1"/>
    <col min="5888" max="5890" width="5.28515625" style="3" customWidth="1"/>
    <col min="5891" max="5891" width="7.7109375" style="3" bestFit="1" customWidth="1"/>
    <col min="5892" max="5892" width="7.7109375" style="3" customWidth="1"/>
    <col min="5893" max="5893" width="9.28515625" style="3" customWidth="1"/>
    <col min="5894" max="5894" width="6.85546875" style="3" customWidth="1"/>
    <col min="5895" max="5895" width="5.28515625" style="3" customWidth="1"/>
    <col min="5896" max="5896" width="5.7109375" style="3" customWidth="1"/>
    <col min="5897" max="5897" width="6.140625" style="3" customWidth="1"/>
    <col min="5898" max="5898" width="7.7109375" style="3" customWidth="1"/>
    <col min="5899" max="5899" width="8.140625" style="3" bestFit="1" customWidth="1"/>
    <col min="5900" max="5900" width="11.28515625" style="3" bestFit="1" customWidth="1"/>
    <col min="5901" max="5901" width="14.28515625" style="3" customWidth="1"/>
    <col min="5902" max="5902" width="79.42578125" style="3" customWidth="1"/>
    <col min="5903" max="6142" width="9.140625" style="3"/>
    <col min="6143" max="6143" width="9.28515625" style="3" customWidth="1"/>
    <col min="6144" max="6146" width="5.28515625" style="3" customWidth="1"/>
    <col min="6147" max="6147" width="7.7109375" style="3" bestFit="1" customWidth="1"/>
    <col min="6148" max="6148" width="7.7109375" style="3" customWidth="1"/>
    <col min="6149" max="6149" width="9.28515625" style="3" customWidth="1"/>
    <col min="6150" max="6150" width="6.85546875" style="3" customWidth="1"/>
    <col min="6151" max="6151" width="5.28515625" style="3" customWidth="1"/>
    <col min="6152" max="6152" width="5.7109375" style="3" customWidth="1"/>
    <col min="6153" max="6153" width="6.140625" style="3" customWidth="1"/>
    <col min="6154" max="6154" width="7.7109375" style="3" customWidth="1"/>
    <col min="6155" max="6155" width="8.140625" style="3" bestFit="1" customWidth="1"/>
    <col min="6156" max="6156" width="11.28515625" style="3" bestFit="1" customWidth="1"/>
    <col min="6157" max="6157" width="14.28515625" style="3" customWidth="1"/>
    <col min="6158" max="6158" width="79.42578125" style="3" customWidth="1"/>
    <col min="6159" max="6398" width="9.140625" style="3"/>
    <col min="6399" max="6399" width="9.28515625" style="3" customWidth="1"/>
    <col min="6400" max="6402" width="5.28515625" style="3" customWidth="1"/>
    <col min="6403" max="6403" width="7.7109375" style="3" bestFit="1" customWidth="1"/>
    <col min="6404" max="6404" width="7.7109375" style="3" customWidth="1"/>
    <col min="6405" max="6405" width="9.28515625" style="3" customWidth="1"/>
    <col min="6406" max="6406" width="6.85546875" style="3" customWidth="1"/>
    <col min="6407" max="6407" width="5.28515625" style="3" customWidth="1"/>
    <col min="6408" max="6408" width="5.7109375" style="3" customWidth="1"/>
    <col min="6409" max="6409" width="6.140625" style="3" customWidth="1"/>
    <col min="6410" max="6410" width="7.7109375" style="3" customWidth="1"/>
    <col min="6411" max="6411" width="8.140625" style="3" bestFit="1" customWidth="1"/>
    <col min="6412" max="6412" width="11.28515625" style="3" bestFit="1" customWidth="1"/>
    <col min="6413" max="6413" width="14.28515625" style="3" customWidth="1"/>
    <col min="6414" max="6414" width="79.42578125" style="3" customWidth="1"/>
    <col min="6415" max="6654" width="9.140625" style="3"/>
    <col min="6655" max="6655" width="9.28515625" style="3" customWidth="1"/>
    <col min="6656" max="6658" width="5.28515625" style="3" customWidth="1"/>
    <col min="6659" max="6659" width="7.7109375" style="3" bestFit="1" customWidth="1"/>
    <col min="6660" max="6660" width="7.7109375" style="3" customWidth="1"/>
    <col min="6661" max="6661" width="9.28515625" style="3" customWidth="1"/>
    <col min="6662" max="6662" width="6.85546875" style="3" customWidth="1"/>
    <col min="6663" max="6663" width="5.28515625" style="3" customWidth="1"/>
    <col min="6664" max="6664" width="5.7109375" style="3" customWidth="1"/>
    <col min="6665" max="6665" width="6.140625" style="3" customWidth="1"/>
    <col min="6666" max="6666" width="7.7109375" style="3" customWidth="1"/>
    <col min="6667" max="6667" width="8.140625" style="3" bestFit="1" customWidth="1"/>
    <col min="6668" max="6668" width="11.28515625" style="3" bestFit="1" customWidth="1"/>
    <col min="6669" max="6669" width="14.28515625" style="3" customWidth="1"/>
    <col min="6670" max="6670" width="79.42578125" style="3" customWidth="1"/>
    <col min="6671" max="6910" width="9.140625" style="3"/>
    <col min="6911" max="6911" width="9.28515625" style="3" customWidth="1"/>
    <col min="6912" max="6914" width="5.28515625" style="3" customWidth="1"/>
    <col min="6915" max="6915" width="7.7109375" style="3" bestFit="1" customWidth="1"/>
    <col min="6916" max="6916" width="7.7109375" style="3" customWidth="1"/>
    <col min="6917" max="6917" width="9.28515625" style="3" customWidth="1"/>
    <col min="6918" max="6918" width="6.85546875" style="3" customWidth="1"/>
    <col min="6919" max="6919" width="5.28515625" style="3" customWidth="1"/>
    <col min="6920" max="6920" width="5.7109375" style="3" customWidth="1"/>
    <col min="6921" max="6921" width="6.140625" style="3" customWidth="1"/>
    <col min="6922" max="6922" width="7.7109375" style="3" customWidth="1"/>
    <col min="6923" max="6923" width="8.140625" style="3" bestFit="1" customWidth="1"/>
    <col min="6924" max="6924" width="11.28515625" style="3" bestFit="1" customWidth="1"/>
    <col min="6925" max="6925" width="14.28515625" style="3" customWidth="1"/>
    <col min="6926" max="6926" width="79.42578125" style="3" customWidth="1"/>
    <col min="6927" max="7166" width="9.140625" style="3"/>
    <col min="7167" max="7167" width="9.28515625" style="3" customWidth="1"/>
    <col min="7168" max="7170" width="5.28515625" style="3" customWidth="1"/>
    <col min="7171" max="7171" width="7.7109375" style="3" bestFit="1" customWidth="1"/>
    <col min="7172" max="7172" width="7.7109375" style="3" customWidth="1"/>
    <col min="7173" max="7173" width="9.28515625" style="3" customWidth="1"/>
    <col min="7174" max="7174" width="6.85546875" style="3" customWidth="1"/>
    <col min="7175" max="7175" width="5.28515625" style="3" customWidth="1"/>
    <col min="7176" max="7176" width="5.7109375" style="3" customWidth="1"/>
    <col min="7177" max="7177" width="6.140625" style="3" customWidth="1"/>
    <col min="7178" max="7178" width="7.7109375" style="3" customWidth="1"/>
    <col min="7179" max="7179" width="8.140625" style="3" bestFit="1" customWidth="1"/>
    <col min="7180" max="7180" width="11.28515625" style="3" bestFit="1" customWidth="1"/>
    <col min="7181" max="7181" width="14.28515625" style="3" customWidth="1"/>
    <col min="7182" max="7182" width="79.42578125" style="3" customWidth="1"/>
    <col min="7183" max="7422" width="9.140625" style="3"/>
    <col min="7423" max="7423" width="9.28515625" style="3" customWidth="1"/>
    <col min="7424" max="7426" width="5.28515625" style="3" customWidth="1"/>
    <col min="7427" max="7427" width="7.7109375" style="3" bestFit="1" customWidth="1"/>
    <col min="7428" max="7428" width="7.7109375" style="3" customWidth="1"/>
    <col min="7429" max="7429" width="9.28515625" style="3" customWidth="1"/>
    <col min="7430" max="7430" width="6.85546875" style="3" customWidth="1"/>
    <col min="7431" max="7431" width="5.28515625" style="3" customWidth="1"/>
    <col min="7432" max="7432" width="5.7109375" style="3" customWidth="1"/>
    <col min="7433" max="7433" width="6.140625" style="3" customWidth="1"/>
    <col min="7434" max="7434" width="7.7109375" style="3" customWidth="1"/>
    <col min="7435" max="7435" width="8.140625" style="3" bestFit="1" customWidth="1"/>
    <col min="7436" max="7436" width="11.28515625" style="3" bestFit="1" customWidth="1"/>
    <col min="7437" max="7437" width="14.28515625" style="3" customWidth="1"/>
    <col min="7438" max="7438" width="79.42578125" style="3" customWidth="1"/>
    <col min="7439" max="7678" width="9.140625" style="3"/>
    <col min="7679" max="7679" width="9.28515625" style="3" customWidth="1"/>
    <col min="7680" max="7682" width="5.28515625" style="3" customWidth="1"/>
    <col min="7683" max="7683" width="7.7109375" style="3" bestFit="1" customWidth="1"/>
    <col min="7684" max="7684" width="7.7109375" style="3" customWidth="1"/>
    <col min="7685" max="7685" width="9.28515625" style="3" customWidth="1"/>
    <col min="7686" max="7686" width="6.85546875" style="3" customWidth="1"/>
    <col min="7687" max="7687" width="5.28515625" style="3" customWidth="1"/>
    <col min="7688" max="7688" width="5.7109375" style="3" customWidth="1"/>
    <col min="7689" max="7689" width="6.140625" style="3" customWidth="1"/>
    <col min="7690" max="7690" width="7.7109375" style="3" customWidth="1"/>
    <col min="7691" max="7691" width="8.140625" style="3" bestFit="1" customWidth="1"/>
    <col min="7692" max="7692" width="11.28515625" style="3" bestFit="1" customWidth="1"/>
    <col min="7693" max="7693" width="14.28515625" style="3" customWidth="1"/>
    <col min="7694" max="7694" width="79.42578125" style="3" customWidth="1"/>
    <col min="7695" max="7934" width="9.140625" style="3"/>
    <col min="7935" max="7935" width="9.28515625" style="3" customWidth="1"/>
    <col min="7936" max="7938" width="5.28515625" style="3" customWidth="1"/>
    <col min="7939" max="7939" width="7.7109375" style="3" bestFit="1" customWidth="1"/>
    <col min="7940" max="7940" width="7.7109375" style="3" customWidth="1"/>
    <col min="7941" max="7941" width="9.28515625" style="3" customWidth="1"/>
    <col min="7942" max="7942" width="6.85546875" style="3" customWidth="1"/>
    <col min="7943" max="7943" width="5.28515625" style="3" customWidth="1"/>
    <col min="7944" max="7944" width="5.7109375" style="3" customWidth="1"/>
    <col min="7945" max="7945" width="6.140625" style="3" customWidth="1"/>
    <col min="7946" max="7946" width="7.7109375" style="3" customWidth="1"/>
    <col min="7947" max="7947" width="8.140625" style="3" bestFit="1" customWidth="1"/>
    <col min="7948" max="7948" width="11.28515625" style="3" bestFit="1" customWidth="1"/>
    <col min="7949" max="7949" width="14.28515625" style="3" customWidth="1"/>
    <col min="7950" max="7950" width="79.42578125" style="3" customWidth="1"/>
    <col min="7951" max="8190" width="9.140625" style="3"/>
    <col min="8191" max="8191" width="9.28515625" style="3" customWidth="1"/>
    <col min="8192" max="8194" width="5.28515625" style="3" customWidth="1"/>
    <col min="8195" max="8195" width="7.7109375" style="3" bestFit="1" customWidth="1"/>
    <col min="8196" max="8196" width="7.7109375" style="3" customWidth="1"/>
    <col min="8197" max="8197" width="9.28515625" style="3" customWidth="1"/>
    <col min="8198" max="8198" width="6.85546875" style="3" customWidth="1"/>
    <col min="8199" max="8199" width="5.28515625" style="3" customWidth="1"/>
    <col min="8200" max="8200" width="5.7109375" style="3" customWidth="1"/>
    <col min="8201" max="8201" width="6.140625" style="3" customWidth="1"/>
    <col min="8202" max="8202" width="7.7109375" style="3" customWidth="1"/>
    <col min="8203" max="8203" width="8.140625" style="3" bestFit="1" customWidth="1"/>
    <col min="8204" max="8204" width="11.28515625" style="3" bestFit="1" customWidth="1"/>
    <col min="8205" max="8205" width="14.28515625" style="3" customWidth="1"/>
    <col min="8206" max="8206" width="79.42578125" style="3" customWidth="1"/>
    <col min="8207" max="8446" width="9.140625" style="3"/>
    <col min="8447" max="8447" width="9.28515625" style="3" customWidth="1"/>
    <col min="8448" max="8450" width="5.28515625" style="3" customWidth="1"/>
    <col min="8451" max="8451" width="7.7109375" style="3" bestFit="1" customWidth="1"/>
    <col min="8452" max="8452" width="7.7109375" style="3" customWidth="1"/>
    <col min="8453" max="8453" width="9.28515625" style="3" customWidth="1"/>
    <col min="8454" max="8454" width="6.85546875" style="3" customWidth="1"/>
    <col min="8455" max="8455" width="5.28515625" style="3" customWidth="1"/>
    <col min="8456" max="8456" width="5.7109375" style="3" customWidth="1"/>
    <col min="8457" max="8457" width="6.140625" style="3" customWidth="1"/>
    <col min="8458" max="8458" width="7.7109375" style="3" customWidth="1"/>
    <col min="8459" max="8459" width="8.140625" style="3" bestFit="1" customWidth="1"/>
    <col min="8460" max="8460" width="11.28515625" style="3" bestFit="1" customWidth="1"/>
    <col min="8461" max="8461" width="14.28515625" style="3" customWidth="1"/>
    <col min="8462" max="8462" width="79.42578125" style="3" customWidth="1"/>
    <col min="8463" max="8702" width="9.140625" style="3"/>
    <col min="8703" max="8703" width="9.28515625" style="3" customWidth="1"/>
    <col min="8704" max="8706" width="5.28515625" style="3" customWidth="1"/>
    <col min="8707" max="8707" width="7.7109375" style="3" bestFit="1" customWidth="1"/>
    <col min="8708" max="8708" width="7.7109375" style="3" customWidth="1"/>
    <col min="8709" max="8709" width="9.28515625" style="3" customWidth="1"/>
    <col min="8710" max="8710" width="6.85546875" style="3" customWidth="1"/>
    <col min="8711" max="8711" width="5.28515625" style="3" customWidth="1"/>
    <col min="8712" max="8712" width="5.7109375" style="3" customWidth="1"/>
    <col min="8713" max="8713" width="6.140625" style="3" customWidth="1"/>
    <col min="8714" max="8714" width="7.7109375" style="3" customWidth="1"/>
    <col min="8715" max="8715" width="8.140625" style="3" bestFit="1" customWidth="1"/>
    <col min="8716" max="8716" width="11.28515625" style="3" bestFit="1" customWidth="1"/>
    <col min="8717" max="8717" width="14.28515625" style="3" customWidth="1"/>
    <col min="8718" max="8718" width="79.42578125" style="3" customWidth="1"/>
    <col min="8719" max="8958" width="9.140625" style="3"/>
    <col min="8959" max="8959" width="9.28515625" style="3" customWidth="1"/>
    <col min="8960" max="8962" width="5.28515625" style="3" customWidth="1"/>
    <col min="8963" max="8963" width="7.7109375" style="3" bestFit="1" customWidth="1"/>
    <col min="8964" max="8964" width="7.7109375" style="3" customWidth="1"/>
    <col min="8965" max="8965" width="9.28515625" style="3" customWidth="1"/>
    <col min="8966" max="8966" width="6.85546875" style="3" customWidth="1"/>
    <col min="8967" max="8967" width="5.28515625" style="3" customWidth="1"/>
    <col min="8968" max="8968" width="5.7109375" style="3" customWidth="1"/>
    <col min="8969" max="8969" width="6.140625" style="3" customWidth="1"/>
    <col min="8970" max="8970" width="7.7109375" style="3" customWidth="1"/>
    <col min="8971" max="8971" width="8.140625" style="3" bestFit="1" customWidth="1"/>
    <col min="8972" max="8972" width="11.28515625" style="3" bestFit="1" customWidth="1"/>
    <col min="8973" max="8973" width="14.28515625" style="3" customWidth="1"/>
    <col min="8974" max="8974" width="79.42578125" style="3" customWidth="1"/>
    <col min="8975" max="9214" width="9.140625" style="3"/>
    <col min="9215" max="9215" width="9.28515625" style="3" customWidth="1"/>
    <col min="9216" max="9218" width="5.28515625" style="3" customWidth="1"/>
    <col min="9219" max="9219" width="7.7109375" style="3" bestFit="1" customWidth="1"/>
    <col min="9220" max="9220" width="7.7109375" style="3" customWidth="1"/>
    <col min="9221" max="9221" width="9.28515625" style="3" customWidth="1"/>
    <col min="9222" max="9222" width="6.85546875" style="3" customWidth="1"/>
    <col min="9223" max="9223" width="5.28515625" style="3" customWidth="1"/>
    <col min="9224" max="9224" width="5.7109375" style="3" customWidth="1"/>
    <col min="9225" max="9225" width="6.140625" style="3" customWidth="1"/>
    <col min="9226" max="9226" width="7.7109375" style="3" customWidth="1"/>
    <col min="9227" max="9227" width="8.140625" style="3" bestFit="1" customWidth="1"/>
    <col min="9228" max="9228" width="11.28515625" style="3" bestFit="1" customWidth="1"/>
    <col min="9229" max="9229" width="14.28515625" style="3" customWidth="1"/>
    <col min="9230" max="9230" width="79.42578125" style="3" customWidth="1"/>
    <col min="9231" max="9470" width="9.140625" style="3"/>
    <col min="9471" max="9471" width="9.28515625" style="3" customWidth="1"/>
    <col min="9472" max="9474" width="5.28515625" style="3" customWidth="1"/>
    <col min="9475" max="9475" width="7.7109375" style="3" bestFit="1" customWidth="1"/>
    <col min="9476" max="9476" width="7.7109375" style="3" customWidth="1"/>
    <col min="9477" max="9477" width="9.28515625" style="3" customWidth="1"/>
    <col min="9478" max="9478" width="6.85546875" style="3" customWidth="1"/>
    <col min="9479" max="9479" width="5.28515625" style="3" customWidth="1"/>
    <col min="9480" max="9480" width="5.7109375" style="3" customWidth="1"/>
    <col min="9481" max="9481" width="6.140625" style="3" customWidth="1"/>
    <col min="9482" max="9482" width="7.7109375" style="3" customWidth="1"/>
    <col min="9483" max="9483" width="8.140625" style="3" bestFit="1" customWidth="1"/>
    <col min="9484" max="9484" width="11.28515625" style="3" bestFit="1" customWidth="1"/>
    <col min="9485" max="9485" width="14.28515625" style="3" customWidth="1"/>
    <col min="9486" max="9486" width="79.42578125" style="3" customWidth="1"/>
    <col min="9487" max="9726" width="9.140625" style="3"/>
    <col min="9727" max="9727" width="9.28515625" style="3" customWidth="1"/>
    <col min="9728" max="9730" width="5.28515625" style="3" customWidth="1"/>
    <col min="9731" max="9731" width="7.7109375" style="3" bestFit="1" customWidth="1"/>
    <col min="9732" max="9732" width="7.7109375" style="3" customWidth="1"/>
    <col min="9733" max="9733" width="9.28515625" style="3" customWidth="1"/>
    <col min="9734" max="9734" width="6.85546875" style="3" customWidth="1"/>
    <col min="9735" max="9735" width="5.28515625" style="3" customWidth="1"/>
    <col min="9736" max="9736" width="5.7109375" style="3" customWidth="1"/>
    <col min="9737" max="9737" width="6.140625" style="3" customWidth="1"/>
    <col min="9738" max="9738" width="7.7109375" style="3" customWidth="1"/>
    <col min="9739" max="9739" width="8.140625" style="3" bestFit="1" customWidth="1"/>
    <col min="9740" max="9740" width="11.28515625" style="3" bestFit="1" customWidth="1"/>
    <col min="9741" max="9741" width="14.28515625" style="3" customWidth="1"/>
    <col min="9742" max="9742" width="79.42578125" style="3" customWidth="1"/>
    <col min="9743" max="9982" width="9.140625" style="3"/>
    <col min="9983" max="9983" width="9.28515625" style="3" customWidth="1"/>
    <col min="9984" max="9986" width="5.28515625" style="3" customWidth="1"/>
    <col min="9987" max="9987" width="7.7109375" style="3" bestFit="1" customWidth="1"/>
    <col min="9988" max="9988" width="7.7109375" style="3" customWidth="1"/>
    <col min="9989" max="9989" width="9.28515625" style="3" customWidth="1"/>
    <col min="9990" max="9990" width="6.85546875" style="3" customWidth="1"/>
    <col min="9991" max="9991" width="5.28515625" style="3" customWidth="1"/>
    <col min="9992" max="9992" width="5.7109375" style="3" customWidth="1"/>
    <col min="9993" max="9993" width="6.140625" style="3" customWidth="1"/>
    <col min="9994" max="9994" width="7.7109375" style="3" customWidth="1"/>
    <col min="9995" max="9995" width="8.140625" style="3" bestFit="1" customWidth="1"/>
    <col min="9996" max="9996" width="11.28515625" style="3" bestFit="1" customWidth="1"/>
    <col min="9997" max="9997" width="14.28515625" style="3" customWidth="1"/>
    <col min="9998" max="9998" width="79.42578125" style="3" customWidth="1"/>
    <col min="9999" max="10238" width="9.140625" style="3"/>
    <col min="10239" max="10239" width="9.28515625" style="3" customWidth="1"/>
    <col min="10240" max="10242" width="5.28515625" style="3" customWidth="1"/>
    <col min="10243" max="10243" width="7.7109375" style="3" bestFit="1" customWidth="1"/>
    <col min="10244" max="10244" width="7.7109375" style="3" customWidth="1"/>
    <col min="10245" max="10245" width="9.28515625" style="3" customWidth="1"/>
    <col min="10246" max="10246" width="6.85546875" style="3" customWidth="1"/>
    <col min="10247" max="10247" width="5.28515625" style="3" customWidth="1"/>
    <col min="10248" max="10248" width="5.7109375" style="3" customWidth="1"/>
    <col min="10249" max="10249" width="6.140625" style="3" customWidth="1"/>
    <col min="10250" max="10250" width="7.7109375" style="3" customWidth="1"/>
    <col min="10251" max="10251" width="8.140625" style="3" bestFit="1" customWidth="1"/>
    <col min="10252" max="10252" width="11.28515625" style="3" bestFit="1" customWidth="1"/>
    <col min="10253" max="10253" width="14.28515625" style="3" customWidth="1"/>
    <col min="10254" max="10254" width="79.42578125" style="3" customWidth="1"/>
    <col min="10255" max="10494" width="9.140625" style="3"/>
    <col min="10495" max="10495" width="9.28515625" style="3" customWidth="1"/>
    <col min="10496" max="10498" width="5.28515625" style="3" customWidth="1"/>
    <col min="10499" max="10499" width="7.7109375" style="3" bestFit="1" customWidth="1"/>
    <col min="10500" max="10500" width="7.7109375" style="3" customWidth="1"/>
    <col min="10501" max="10501" width="9.28515625" style="3" customWidth="1"/>
    <col min="10502" max="10502" width="6.85546875" style="3" customWidth="1"/>
    <col min="10503" max="10503" width="5.28515625" style="3" customWidth="1"/>
    <col min="10504" max="10504" width="5.7109375" style="3" customWidth="1"/>
    <col min="10505" max="10505" width="6.140625" style="3" customWidth="1"/>
    <col min="10506" max="10506" width="7.7109375" style="3" customWidth="1"/>
    <col min="10507" max="10507" width="8.140625" style="3" bestFit="1" customWidth="1"/>
    <col min="10508" max="10508" width="11.28515625" style="3" bestFit="1" customWidth="1"/>
    <col min="10509" max="10509" width="14.28515625" style="3" customWidth="1"/>
    <col min="10510" max="10510" width="79.42578125" style="3" customWidth="1"/>
    <col min="10511" max="10750" width="9.140625" style="3"/>
    <col min="10751" max="10751" width="9.28515625" style="3" customWidth="1"/>
    <col min="10752" max="10754" width="5.28515625" style="3" customWidth="1"/>
    <col min="10755" max="10755" width="7.7109375" style="3" bestFit="1" customWidth="1"/>
    <col min="10756" max="10756" width="7.7109375" style="3" customWidth="1"/>
    <col min="10757" max="10757" width="9.28515625" style="3" customWidth="1"/>
    <col min="10758" max="10758" width="6.85546875" style="3" customWidth="1"/>
    <col min="10759" max="10759" width="5.28515625" style="3" customWidth="1"/>
    <col min="10760" max="10760" width="5.7109375" style="3" customWidth="1"/>
    <col min="10761" max="10761" width="6.140625" style="3" customWidth="1"/>
    <col min="10762" max="10762" width="7.7109375" style="3" customWidth="1"/>
    <col min="10763" max="10763" width="8.140625" style="3" bestFit="1" customWidth="1"/>
    <col min="10764" max="10764" width="11.28515625" style="3" bestFit="1" customWidth="1"/>
    <col min="10765" max="10765" width="14.28515625" style="3" customWidth="1"/>
    <col min="10766" max="10766" width="79.42578125" style="3" customWidth="1"/>
    <col min="10767" max="11006" width="9.140625" style="3"/>
    <col min="11007" max="11007" width="9.28515625" style="3" customWidth="1"/>
    <col min="11008" max="11010" width="5.28515625" style="3" customWidth="1"/>
    <col min="11011" max="11011" width="7.7109375" style="3" bestFit="1" customWidth="1"/>
    <col min="11012" max="11012" width="7.7109375" style="3" customWidth="1"/>
    <col min="11013" max="11013" width="9.28515625" style="3" customWidth="1"/>
    <col min="11014" max="11014" width="6.85546875" style="3" customWidth="1"/>
    <col min="11015" max="11015" width="5.28515625" style="3" customWidth="1"/>
    <col min="11016" max="11016" width="5.7109375" style="3" customWidth="1"/>
    <col min="11017" max="11017" width="6.140625" style="3" customWidth="1"/>
    <col min="11018" max="11018" width="7.7109375" style="3" customWidth="1"/>
    <col min="11019" max="11019" width="8.140625" style="3" bestFit="1" customWidth="1"/>
    <col min="11020" max="11020" width="11.28515625" style="3" bestFit="1" customWidth="1"/>
    <col min="11021" max="11021" width="14.28515625" style="3" customWidth="1"/>
    <col min="11022" max="11022" width="79.42578125" style="3" customWidth="1"/>
    <col min="11023" max="11262" width="9.140625" style="3"/>
    <col min="11263" max="11263" width="9.28515625" style="3" customWidth="1"/>
    <col min="11264" max="11266" width="5.28515625" style="3" customWidth="1"/>
    <col min="11267" max="11267" width="7.7109375" style="3" bestFit="1" customWidth="1"/>
    <col min="11268" max="11268" width="7.7109375" style="3" customWidth="1"/>
    <col min="11269" max="11269" width="9.28515625" style="3" customWidth="1"/>
    <col min="11270" max="11270" width="6.85546875" style="3" customWidth="1"/>
    <col min="11271" max="11271" width="5.28515625" style="3" customWidth="1"/>
    <col min="11272" max="11272" width="5.7109375" style="3" customWidth="1"/>
    <col min="11273" max="11273" width="6.140625" style="3" customWidth="1"/>
    <col min="11274" max="11274" width="7.7109375" style="3" customWidth="1"/>
    <col min="11275" max="11275" width="8.140625" style="3" bestFit="1" customWidth="1"/>
    <col min="11276" max="11276" width="11.28515625" style="3" bestFit="1" customWidth="1"/>
    <col min="11277" max="11277" width="14.28515625" style="3" customWidth="1"/>
    <col min="11278" max="11278" width="79.42578125" style="3" customWidth="1"/>
    <col min="11279" max="11518" width="9.140625" style="3"/>
    <col min="11519" max="11519" width="9.28515625" style="3" customWidth="1"/>
    <col min="11520" max="11522" width="5.28515625" style="3" customWidth="1"/>
    <col min="11523" max="11523" width="7.7109375" style="3" bestFit="1" customWidth="1"/>
    <col min="11524" max="11524" width="7.7109375" style="3" customWidth="1"/>
    <col min="11525" max="11525" width="9.28515625" style="3" customWidth="1"/>
    <col min="11526" max="11526" width="6.85546875" style="3" customWidth="1"/>
    <col min="11527" max="11527" width="5.28515625" style="3" customWidth="1"/>
    <col min="11528" max="11528" width="5.7109375" style="3" customWidth="1"/>
    <col min="11529" max="11529" width="6.140625" style="3" customWidth="1"/>
    <col min="11530" max="11530" width="7.7109375" style="3" customWidth="1"/>
    <col min="11531" max="11531" width="8.140625" style="3" bestFit="1" customWidth="1"/>
    <col min="11532" max="11532" width="11.28515625" style="3" bestFit="1" customWidth="1"/>
    <col min="11533" max="11533" width="14.28515625" style="3" customWidth="1"/>
    <col min="11534" max="11534" width="79.42578125" style="3" customWidth="1"/>
    <col min="11535" max="11774" width="9.140625" style="3"/>
    <col min="11775" max="11775" width="9.28515625" style="3" customWidth="1"/>
    <col min="11776" max="11778" width="5.28515625" style="3" customWidth="1"/>
    <col min="11779" max="11779" width="7.7109375" style="3" bestFit="1" customWidth="1"/>
    <col min="11780" max="11780" width="7.7109375" style="3" customWidth="1"/>
    <col min="11781" max="11781" width="9.28515625" style="3" customWidth="1"/>
    <col min="11782" max="11782" width="6.85546875" style="3" customWidth="1"/>
    <col min="11783" max="11783" width="5.28515625" style="3" customWidth="1"/>
    <col min="11784" max="11784" width="5.7109375" style="3" customWidth="1"/>
    <col min="11785" max="11785" width="6.140625" style="3" customWidth="1"/>
    <col min="11786" max="11786" width="7.7109375" style="3" customWidth="1"/>
    <col min="11787" max="11787" width="8.140625" style="3" bestFit="1" customWidth="1"/>
    <col min="11788" max="11788" width="11.28515625" style="3" bestFit="1" customWidth="1"/>
    <col min="11789" max="11789" width="14.28515625" style="3" customWidth="1"/>
    <col min="11790" max="11790" width="79.42578125" style="3" customWidth="1"/>
    <col min="11791" max="12030" width="9.140625" style="3"/>
    <col min="12031" max="12031" width="9.28515625" style="3" customWidth="1"/>
    <col min="12032" max="12034" width="5.28515625" style="3" customWidth="1"/>
    <col min="12035" max="12035" width="7.7109375" style="3" bestFit="1" customWidth="1"/>
    <col min="12036" max="12036" width="7.7109375" style="3" customWidth="1"/>
    <col min="12037" max="12037" width="9.28515625" style="3" customWidth="1"/>
    <col min="12038" max="12038" width="6.85546875" style="3" customWidth="1"/>
    <col min="12039" max="12039" width="5.28515625" style="3" customWidth="1"/>
    <col min="12040" max="12040" width="5.7109375" style="3" customWidth="1"/>
    <col min="12041" max="12041" width="6.140625" style="3" customWidth="1"/>
    <col min="12042" max="12042" width="7.7109375" style="3" customWidth="1"/>
    <col min="12043" max="12043" width="8.140625" style="3" bestFit="1" customWidth="1"/>
    <col min="12044" max="12044" width="11.28515625" style="3" bestFit="1" customWidth="1"/>
    <col min="12045" max="12045" width="14.28515625" style="3" customWidth="1"/>
    <col min="12046" max="12046" width="79.42578125" style="3" customWidth="1"/>
    <col min="12047" max="12286" width="9.140625" style="3"/>
    <col min="12287" max="12287" width="9.28515625" style="3" customWidth="1"/>
    <col min="12288" max="12290" width="5.28515625" style="3" customWidth="1"/>
    <col min="12291" max="12291" width="7.7109375" style="3" bestFit="1" customWidth="1"/>
    <col min="12292" max="12292" width="7.7109375" style="3" customWidth="1"/>
    <col min="12293" max="12293" width="9.28515625" style="3" customWidth="1"/>
    <col min="12294" max="12294" width="6.85546875" style="3" customWidth="1"/>
    <col min="12295" max="12295" width="5.28515625" style="3" customWidth="1"/>
    <col min="12296" max="12296" width="5.7109375" style="3" customWidth="1"/>
    <col min="12297" max="12297" width="6.140625" style="3" customWidth="1"/>
    <col min="12298" max="12298" width="7.7109375" style="3" customWidth="1"/>
    <col min="12299" max="12299" width="8.140625" style="3" bestFit="1" customWidth="1"/>
    <col min="12300" max="12300" width="11.28515625" style="3" bestFit="1" customWidth="1"/>
    <col min="12301" max="12301" width="14.28515625" style="3" customWidth="1"/>
    <col min="12302" max="12302" width="79.42578125" style="3" customWidth="1"/>
    <col min="12303" max="12542" width="9.140625" style="3"/>
    <col min="12543" max="12543" width="9.28515625" style="3" customWidth="1"/>
    <col min="12544" max="12546" width="5.28515625" style="3" customWidth="1"/>
    <col min="12547" max="12547" width="7.7109375" style="3" bestFit="1" customWidth="1"/>
    <col min="12548" max="12548" width="7.7109375" style="3" customWidth="1"/>
    <col min="12549" max="12549" width="9.28515625" style="3" customWidth="1"/>
    <col min="12550" max="12550" width="6.85546875" style="3" customWidth="1"/>
    <col min="12551" max="12551" width="5.28515625" style="3" customWidth="1"/>
    <col min="12552" max="12552" width="5.7109375" style="3" customWidth="1"/>
    <col min="12553" max="12553" width="6.140625" style="3" customWidth="1"/>
    <col min="12554" max="12554" width="7.7109375" style="3" customWidth="1"/>
    <col min="12555" max="12555" width="8.140625" style="3" bestFit="1" customWidth="1"/>
    <col min="12556" max="12556" width="11.28515625" style="3" bestFit="1" customWidth="1"/>
    <col min="12557" max="12557" width="14.28515625" style="3" customWidth="1"/>
    <col min="12558" max="12558" width="79.42578125" style="3" customWidth="1"/>
    <col min="12559" max="12798" width="9.140625" style="3"/>
    <col min="12799" max="12799" width="9.28515625" style="3" customWidth="1"/>
    <col min="12800" max="12802" width="5.28515625" style="3" customWidth="1"/>
    <col min="12803" max="12803" width="7.7109375" style="3" bestFit="1" customWidth="1"/>
    <col min="12804" max="12804" width="7.7109375" style="3" customWidth="1"/>
    <col min="12805" max="12805" width="9.28515625" style="3" customWidth="1"/>
    <col min="12806" max="12806" width="6.85546875" style="3" customWidth="1"/>
    <col min="12807" max="12807" width="5.28515625" style="3" customWidth="1"/>
    <col min="12808" max="12808" width="5.7109375" style="3" customWidth="1"/>
    <col min="12809" max="12809" width="6.140625" style="3" customWidth="1"/>
    <col min="12810" max="12810" width="7.7109375" style="3" customWidth="1"/>
    <col min="12811" max="12811" width="8.140625" style="3" bestFit="1" customWidth="1"/>
    <col min="12812" max="12812" width="11.28515625" style="3" bestFit="1" customWidth="1"/>
    <col min="12813" max="12813" width="14.28515625" style="3" customWidth="1"/>
    <col min="12814" max="12814" width="79.42578125" style="3" customWidth="1"/>
    <col min="12815" max="13054" width="9.140625" style="3"/>
    <col min="13055" max="13055" width="9.28515625" style="3" customWidth="1"/>
    <col min="13056" max="13058" width="5.28515625" style="3" customWidth="1"/>
    <col min="13059" max="13059" width="7.7109375" style="3" bestFit="1" customWidth="1"/>
    <col min="13060" max="13060" width="7.7109375" style="3" customWidth="1"/>
    <col min="13061" max="13061" width="9.28515625" style="3" customWidth="1"/>
    <col min="13062" max="13062" width="6.85546875" style="3" customWidth="1"/>
    <col min="13063" max="13063" width="5.28515625" style="3" customWidth="1"/>
    <col min="13064" max="13064" width="5.7109375" style="3" customWidth="1"/>
    <col min="13065" max="13065" width="6.140625" style="3" customWidth="1"/>
    <col min="13066" max="13066" width="7.7109375" style="3" customWidth="1"/>
    <col min="13067" max="13067" width="8.140625" style="3" bestFit="1" customWidth="1"/>
    <col min="13068" max="13068" width="11.28515625" style="3" bestFit="1" customWidth="1"/>
    <col min="13069" max="13069" width="14.28515625" style="3" customWidth="1"/>
    <col min="13070" max="13070" width="79.42578125" style="3" customWidth="1"/>
    <col min="13071" max="13310" width="9.140625" style="3"/>
    <col min="13311" max="13311" width="9.28515625" style="3" customWidth="1"/>
    <col min="13312" max="13314" width="5.28515625" style="3" customWidth="1"/>
    <col min="13315" max="13315" width="7.7109375" style="3" bestFit="1" customWidth="1"/>
    <col min="13316" max="13316" width="7.7109375" style="3" customWidth="1"/>
    <col min="13317" max="13317" width="9.28515625" style="3" customWidth="1"/>
    <col min="13318" max="13318" width="6.85546875" style="3" customWidth="1"/>
    <col min="13319" max="13319" width="5.28515625" style="3" customWidth="1"/>
    <col min="13320" max="13320" width="5.7109375" style="3" customWidth="1"/>
    <col min="13321" max="13321" width="6.140625" style="3" customWidth="1"/>
    <col min="13322" max="13322" width="7.7109375" style="3" customWidth="1"/>
    <col min="13323" max="13323" width="8.140625" style="3" bestFit="1" customWidth="1"/>
    <col min="13324" max="13324" width="11.28515625" style="3" bestFit="1" customWidth="1"/>
    <col min="13325" max="13325" width="14.28515625" style="3" customWidth="1"/>
    <col min="13326" max="13326" width="79.42578125" style="3" customWidth="1"/>
    <col min="13327" max="13566" width="9.140625" style="3"/>
    <col min="13567" max="13567" width="9.28515625" style="3" customWidth="1"/>
    <col min="13568" max="13570" width="5.28515625" style="3" customWidth="1"/>
    <col min="13571" max="13571" width="7.7109375" style="3" bestFit="1" customWidth="1"/>
    <col min="13572" max="13572" width="7.7109375" style="3" customWidth="1"/>
    <col min="13573" max="13573" width="9.28515625" style="3" customWidth="1"/>
    <col min="13574" max="13574" width="6.85546875" style="3" customWidth="1"/>
    <col min="13575" max="13575" width="5.28515625" style="3" customWidth="1"/>
    <col min="13576" max="13576" width="5.7109375" style="3" customWidth="1"/>
    <col min="13577" max="13577" width="6.140625" style="3" customWidth="1"/>
    <col min="13578" max="13578" width="7.7109375" style="3" customWidth="1"/>
    <col min="13579" max="13579" width="8.140625" style="3" bestFit="1" customWidth="1"/>
    <col min="13580" max="13580" width="11.28515625" style="3" bestFit="1" customWidth="1"/>
    <col min="13581" max="13581" width="14.28515625" style="3" customWidth="1"/>
    <col min="13582" max="13582" width="79.42578125" style="3" customWidth="1"/>
    <col min="13583" max="13822" width="9.140625" style="3"/>
    <col min="13823" max="13823" width="9.28515625" style="3" customWidth="1"/>
    <col min="13824" max="13826" width="5.28515625" style="3" customWidth="1"/>
    <col min="13827" max="13827" width="7.7109375" style="3" bestFit="1" customWidth="1"/>
    <col min="13828" max="13828" width="7.7109375" style="3" customWidth="1"/>
    <col min="13829" max="13829" width="9.28515625" style="3" customWidth="1"/>
    <col min="13830" max="13830" width="6.85546875" style="3" customWidth="1"/>
    <col min="13831" max="13831" width="5.28515625" style="3" customWidth="1"/>
    <col min="13832" max="13832" width="5.7109375" style="3" customWidth="1"/>
    <col min="13833" max="13833" width="6.140625" style="3" customWidth="1"/>
    <col min="13834" max="13834" width="7.7109375" style="3" customWidth="1"/>
    <col min="13835" max="13835" width="8.140625" style="3" bestFit="1" customWidth="1"/>
    <col min="13836" max="13836" width="11.28515625" style="3" bestFit="1" customWidth="1"/>
    <col min="13837" max="13837" width="14.28515625" style="3" customWidth="1"/>
    <col min="13838" max="13838" width="79.42578125" style="3" customWidth="1"/>
    <col min="13839" max="14078" width="9.140625" style="3"/>
    <col min="14079" max="14079" width="9.28515625" style="3" customWidth="1"/>
    <col min="14080" max="14082" width="5.28515625" style="3" customWidth="1"/>
    <col min="14083" max="14083" width="7.7109375" style="3" bestFit="1" customWidth="1"/>
    <col min="14084" max="14084" width="7.7109375" style="3" customWidth="1"/>
    <col min="14085" max="14085" width="9.28515625" style="3" customWidth="1"/>
    <col min="14086" max="14086" width="6.85546875" style="3" customWidth="1"/>
    <col min="14087" max="14087" width="5.28515625" style="3" customWidth="1"/>
    <col min="14088" max="14088" width="5.7109375" style="3" customWidth="1"/>
    <col min="14089" max="14089" width="6.140625" style="3" customWidth="1"/>
    <col min="14090" max="14090" width="7.7109375" style="3" customWidth="1"/>
    <col min="14091" max="14091" width="8.140625" style="3" bestFit="1" customWidth="1"/>
    <col min="14092" max="14092" width="11.28515625" style="3" bestFit="1" customWidth="1"/>
    <col min="14093" max="14093" width="14.28515625" style="3" customWidth="1"/>
    <col min="14094" max="14094" width="79.42578125" style="3" customWidth="1"/>
    <col min="14095" max="14334" width="9.140625" style="3"/>
    <col min="14335" max="14335" width="9.28515625" style="3" customWidth="1"/>
    <col min="14336" max="14338" width="5.28515625" style="3" customWidth="1"/>
    <col min="14339" max="14339" width="7.7109375" style="3" bestFit="1" customWidth="1"/>
    <col min="14340" max="14340" width="7.7109375" style="3" customWidth="1"/>
    <col min="14341" max="14341" width="9.28515625" style="3" customWidth="1"/>
    <col min="14342" max="14342" width="6.85546875" style="3" customWidth="1"/>
    <col min="14343" max="14343" width="5.28515625" style="3" customWidth="1"/>
    <col min="14344" max="14344" width="5.7109375" style="3" customWidth="1"/>
    <col min="14345" max="14345" width="6.140625" style="3" customWidth="1"/>
    <col min="14346" max="14346" width="7.7109375" style="3" customWidth="1"/>
    <col min="14347" max="14347" width="8.140625" style="3" bestFit="1" customWidth="1"/>
    <col min="14348" max="14348" width="11.28515625" style="3" bestFit="1" customWidth="1"/>
    <col min="14349" max="14349" width="14.28515625" style="3" customWidth="1"/>
    <col min="14350" max="14350" width="79.42578125" style="3" customWidth="1"/>
    <col min="14351" max="14590" width="9.140625" style="3"/>
    <col min="14591" max="14591" width="9.28515625" style="3" customWidth="1"/>
    <col min="14592" max="14594" width="5.28515625" style="3" customWidth="1"/>
    <col min="14595" max="14595" width="7.7109375" style="3" bestFit="1" customWidth="1"/>
    <col min="14596" max="14596" width="7.7109375" style="3" customWidth="1"/>
    <col min="14597" max="14597" width="9.28515625" style="3" customWidth="1"/>
    <col min="14598" max="14598" width="6.85546875" style="3" customWidth="1"/>
    <col min="14599" max="14599" width="5.28515625" style="3" customWidth="1"/>
    <col min="14600" max="14600" width="5.7109375" style="3" customWidth="1"/>
    <col min="14601" max="14601" width="6.140625" style="3" customWidth="1"/>
    <col min="14602" max="14602" width="7.7109375" style="3" customWidth="1"/>
    <col min="14603" max="14603" width="8.140625" style="3" bestFit="1" customWidth="1"/>
    <col min="14604" max="14604" width="11.28515625" style="3" bestFit="1" customWidth="1"/>
    <col min="14605" max="14605" width="14.28515625" style="3" customWidth="1"/>
    <col min="14606" max="14606" width="79.42578125" style="3" customWidth="1"/>
    <col min="14607" max="14846" width="9.140625" style="3"/>
    <col min="14847" max="14847" width="9.28515625" style="3" customWidth="1"/>
    <col min="14848" max="14850" width="5.28515625" style="3" customWidth="1"/>
    <col min="14851" max="14851" width="7.7109375" style="3" bestFit="1" customWidth="1"/>
    <col min="14852" max="14852" width="7.7109375" style="3" customWidth="1"/>
    <col min="14853" max="14853" width="9.28515625" style="3" customWidth="1"/>
    <col min="14854" max="14854" width="6.85546875" style="3" customWidth="1"/>
    <col min="14855" max="14855" width="5.28515625" style="3" customWidth="1"/>
    <col min="14856" max="14856" width="5.7109375" style="3" customWidth="1"/>
    <col min="14857" max="14857" width="6.140625" style="3" customWidth="1"/>
    <col min="14858" max="14858" width="7.7109375" style="3" customWidth="1"/>
    <col min="14859" max="14859" width="8.140625" style="3" bestFit="1" customWidth="1"/>
    <col min="14860" max="14860" width="11.28515625" style="3" bestFit="1" customWidth="1"/>
    <col min="14861" max="14861" width="14.28515625" style="3" customWidth="1"/>
    <col min="14862" max="14862" width="79.42578125" style="3" customWidth="1"/>
    <col min="14863" max="15102" width="9.140625" style="3"/>
    <col min="15103" max="15103" width="9.28515625" style="3" customWidth="1"/>
    <col min="15104" max="15106" width="5.28515625" style="3" customWidth="1"/>
    <col min="15107" max="15107" width="7.7109375" style="3" bestFit="1" customWidth="1"/>
    <col min="15108" max="15108" width="7.7109375" style="3" customWidth="1"/>
    <col min="15109" max="15109" width="9.28515625" style="3" customWidth="1"/>
    <col min="15110" max="15110" width="6.85546875" style="3" customWidth="1"/>
    <col min="15111" max="15111" width="5.28515625" style="3" customWidth="1"/>
    <col min="15112" max="15112" width="5.7109375" style="3" customWidth="1"/>
    <col min="15113" max="15113" width="6.140625" style="3" customWidth="1"/>
    <col min="15114" max="15114" width="7.7109375" style="3" customWidth="1"/>
    <col min="15115" max="15115" width="8.140625" style="3" bestFit="1" customWidth="1"/>
    <col min="15116" max="15116" width="11.28515625" style="3" bestFit="1" customWidth="1"/>
    <col min="15117" max="15117" width="14.28515625" style="3" customWidth="1"/>
    <col min="15118" max="15118" width="79.42578125" style="3" customWidth="1"/>
    <col min="15119" max="15358" width="9.140625" style="3"/>
    <col min="15359" max="15359" width="9.28515625" style="3" customWidth="1"/>
    <col min="15360" max="15362" width="5.28515625" style="3" customWidth="1"/>
    <col min="15363" max="15363" width="7.7109375" style="3" bestFit="1" customWidth="1"/>
    <col min="15364" max="15364" width="7.7109375" style="3" customWidth="1"/>
    <col min="15365" max="15365" width="9.28515625" style="3" customWidth="1"/>
    <col min="15366" max="15366" width="6.85546875" style="3" customWidth="1"/>
    <col min="15367" max="15367" width="5.28515625" style="3" customWidth="1"/>
    <col min="15368" max="15368" width="5.7109375" style="3" customWidth="1"/>
    <col min="15369" max="15369" width="6.140625" style="3" customWidth="1"/>
    <col min="15370" max="15370" width="7.7109375" style="3" customWidth="1"/>
    <col min="15371" max="15371" width="8.140625" style="3" bestFit="1" customWidth="1"/>
    <col min="15372" max="15372" width="11.28515625" style="3" bestFit="1" customWidth="1"/>
    <col min="15373" max="15373" width="14.28515625" style="3" customWidth="1"/>
    <col min="15374" max="15374" width="79.42578125" style="3" customWidth="1"/>
    <col min="15375" max="15614" width="9.140625" style="3"/>
    <col min="15615" max="15615" width="9.28515625" style="3" customWidth="1"/>
    <col min="15616" max="15618" width="5.28515625" style="3" customWidth="1"/>
    <col min="15619" max="15619" width="7.7109375" style="3" bestFit="1" customWidth="1"/>
    <col min="15620" max="15620" width="7.7109375" style="3" customWidth="1"/>
    <col min="15621" max="15621" width="9.28515625" style="3" customWidth="1"/>
    <col min="15622" max="15622" width="6.85546875" style="3" customWidth="1"/>
    <col min="15623" max="15623" width="5.28515625" style="3" customWidth="1"/>
    <col min="15624" max="15624" width="5.7109375" style="3" customWidth="1"/>
    <col min="15625" max="15625" width="6.140625" style="3" customWidth="1"/>
    <col min="15626" max="15626" width="7.7109375" style="3" customWidth="1"/>
    <col min="15627" max="15627" width="8.140625" style="3" bestFit="1" customWidth="1"/>
    <col min="15628" max="15628" width="11.28515625" style="3" bestFit="1" customWidth="1"/>
    <col min="15629" max="15629" width="14.28515625" style="3" customWidth="1"/>
    <col min="15630" max="15630" width="79.42578125" style="3" customWidth="1"/>
    <col min="15631" max="15870" width="9.140625" style="3"/>
    <col min="15871" max="15871" width="9.28515625" style="3" customWidth="1"/>
    <col min="15872" max="15874" width="5.28515625" style="3" customWidth="1"/>
    <col min="15875" max="15875" width="7.7109375" style="3" bestFit="1" customWidth="1"/>
    <col min="15876" max="15876" width="7.7109375" style="3" customWidth="1"/>
    <col min="15877" max="15877" width="9.28515625" style="3" customWidth="1"/>
    <col min="15878" max="15878" width="6.85546875" style="3" customWidth="1"/>
    <col min="15879" max="15879" width="5.28515625" style="3" customWidth="1"/>
    <col min="15880" max="15880" width="5.7109375" style="3" customWidth="1"/>
    <col min="15881" max="15881" width="6.140625" style="3" customWidth="1"/>
    <col min="15882" max="15882" width="7.7109375" style="3" customWidth="1"/>
    <col min="15883" max="15883" width="8.140625" style="3" bestFit="1" customWidth="1"/>
    <col min="15884" max="15884" width="11.28515625" style="3" bestFit="1" customWidth="1"/>
    <col min="15885" max="15885" width="14.28515625" style="3" customWidth="1"/>
    <col min="15886" max="15886" width="79.42578125" style="3" customWidth="1"/>
    <col min="15887" max="16126" width="9.140625" style="3"/>
    <col min="16127" max="16127" width="9.28515625" style="3" customWidth="1"/>
    <col min="16128" max="16130" width="5.28515625" style="3" customWidth="1"/>
    <col min="16131" max="16131" width="7.7109375" style="3" bestFit="1" customWidth="1"/>
    <col min="16132" max="16132" width="7.7109375" style="3" customWidth="1"/>
    <col min="16133" max="16133" width="9.28515625" style="3" customWidth="1"/>
    <col min="16134" max="16134" width="6.85546875" style="3" customWidth="1"/>
    <col min="16135" max="16135" width="5.28515625" style="3" customWidth="1"/>
    <col min="16136" max="16136" width="5.7109375" style="3" customWidth="1"/>
    <col min="16137" max="16137" width="6.140625" style="3" customWidth="1"/>
    <col min="16138" max="16138" width="7.7109375" style="3" customWidth="1"/>
    <col min="16139" max="16139" width="8.140625" style="3" bestFit="1" customWidth="1"/>
    <col min="16140" max="16140" width="11.28515625" style="3" bestFit="1" customWidth="1"/>
    <col min="16141" max="16141" width="14.28515625" style="3" customWidth="1"/>
    <col min="16142" max="16142" width="79.42578125" style="3" customWidth="1"/>
    <col min="16143" max="16384" width="9.140625" style="3"/>
  </cols>
  <sheetData>
    <row r="1" spans="1:22" ht="35.25" customHeight="1" thickBot="1" x14ac:dyDescent="0.5">
      <c r="A1" s="149"/>
      <c r="B1" s="149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1"/>
      <c r="P1" s="151"/>
      <c r="Q1" s="151"/>
      <c r="R1" s="151"/>
      <c r="S1" s="151"/>
      <c r="T1" s="151"/>
      <c r="U1" s="151"/>
      <c r="V1" s="151"/>
    </row>
    <row r="2" spans="1:22" ht="29.25" thickBot="1" x14ac:dyDescent="0.35">
      <c r="A2" s="258" t="s">
        <v>239</v>
      </c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151"/>
      <c r="R2" s="151"/>
      <c r="S2" s="151"/>
      <c r="T2" s="151"/>
      <c r="U2" s="151"/>
      <c r="V2" s="151"/>
    </row>
    <row r="3" spans="1:22" ht="24" hidden="1" customHeight="1" x14ac:dyDescent="0.3">
      <c r="A3" s="274" t="s">
        <v>42</v>
      </c>
      <c r="B3" s="275"/>
      <c r="C3" s="275"/>
      <c r="D3" s="275"/>
      <c r="E3" s="275"/>
      <c r="F3" s="275"/>
      <c r="G3" s="275"/>
      <c r="H3" s="276"/>
      <c r="I3" s="272" t="s">
        <v>143</v>
      </c>
      <c r="J3" s="273"/>
      <c r="K3" s="273"/>
      <c r="L3" s="273"/>
      <c r="M3" s="122"/>
      <c r="N3" s="122"/>
      <c r="O3" s="131"/>
      <c r="Q3" s="151"/>
      <c r="R3" s="151"/>
      <c r="S3" s="151"/>
      <c r="T3" s="151"/>
      <c r="U3" s="151"/>
      <c r="V3" s="151"/>
    </row>
    <row r="4" spans="1:22" ht="24" customHeight="1" x14ac:dyDescent="0.3">
      <c r="A4" s="277" t="s">
        <v>240</v>
      </c>
      <c r="B4" s="278"/>
      <c r="C4" s="278"/>
      <c r="D4" s="278"/>
      <c r="E4" s="278"/>
      <c r="F4" s="278"/>
      <c r="G4" s="278"/>
      <c r="H4" s="293"/>
      <c r="I4" s="294" t="s">
        <v>110</v>
      </c>
      <c r="J4" s="295"/>
      <c r="K4" s="295"/>
      <c r="L4" s="295"/>
      <c r="M4" s="125"/>
      <c r="N4" s="125"/>
      <c r="O4" s="129"/>
      <c r="Q4" s="151"/>
      <c r="R4" s="151"/>
      <c r="S4" s="151"/>
      <c r="T4" s="151"/>
      <c r="U4" s="151"/>
      <c r="V4" s="151"/>
    </row>
    <row r="5" spans="1:22" ht="24" customHeight="1" x14ac:dyDescent="0.3">
      <c r="A5" s="299" t="s">
        <v>243</v>
      </c>
      <c r="B5" s="300"/>
      <c r="C5" s="300"/>
      <c r="D5" s="300"/>
      <c r="E5" s="300"/>
      <c r="F5" s="300"/>
      <c r="G5" s="300"/>
      <c r="H5" s="300"/>
      <c r="I5" s="294" t="s">
        <v>143</v>
      </c>
      <c r="J5" s="295"/>
      <c r="K5" s="295"/>
      <c r="L5" s="295"/>
      <c r="M5" s="125"/>
      <c r="N5" s="125"/>
      <c r="O5" s="129"/>
      <c r="Q5" s="151"/>
      <c r="R5" s="151"/>
      <c r="S5" s="151"/>
      <c r="T5" s="151"/>
      <c r="U5" s="151"/>
      <c r="V5" s="151"/>
    </row>
    <row r="6" spans="1:22" ht="24" customHeight="1" x14ac:dyDescent="0.3">
      <c r="A6" s="277" t="s">
        <v>241</v>
      </c>
      <c r="B6" s="278"/>
      <c r="C6" s="278"/>
      <c r="D6" s="278"/>
      <c r="E6" s="278"/>
      <c r="F6" s="278"/>
      <c r="G6" s="278"/>
      <c r="H6" s="293"/>
      <c r="I6" s="301" t="s">
        <v>38</v>
      </c>
      <c r="J6" s="302"/>
      <c r="K6" s="302"/>
      <c r="L6" s="302"/>
      <c r="M6" s="125"/>
      <c r="N6" s="125"/>
      <c r="O6" s="129"/>
      <c r="Q6" s="151"/>
      <c r="R6" s="151"/>
      <c r="S6" s="151"/>
      <c r="T6" s="151"/>
      <c r="U6" s="151"/>
      <c r="V6" s="151"/>
    </row>
    <row r="7" spans="1:22" ht="19.5" customHeight="1" x14ac:dyDescent="0.3">
      <c r="A7" s="152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1"/>
      <c r="Q7" s="151"/>
      <c r="R7" s="151"/>
      <c r="S7" s="151"/>
      <c r="T7" s="151"/>
      <c r="U7" s="151"/>
      <c r="V7" s="151"/>
    </row>
    <row r="8" spans="1:22" ht="17.25" customHeight="1" x14ac:dyDescent="0.3">
      <c r="A8" s="291" t="s">
        <v>43</v>
      </c>
      <c r="B8" s="263" t="s">
        <v>44</v>
      </c>
      <c r="C8" s="263"/>
      <c r="D8" s="263"/>
      <c r="E8" s="263"/>
      <c r="F8" s="263"/>
      <c r="G8" s="263"/>
      <c r="H8" s="263" t="s">
        <v>45</v>
      </c>
      <c r="I8" s="263"/>
      <c r="J8" s="263"/>
      <c r="K8" s="263"/>
      <c r="L8" s="263"/>
      <c r="M8" s="263"/>
      <c r="N8" s="35" t="s">
        <v>46</v>
      </c>
      <c r="O8" s="296" t="s">
        <v>47</v>
      </c>
      <c r="P8" s="297" t="s">
        <v>48</v>
      </c>
      <c r="Q8" s="252" t="s">
        <v>186</v>
      </c>
      <c r="R8" s="251" t="s">
        <v>211</v>
      </c>
      <c r="S8" s="251" t="s">
        <v>212</v>
      </c>
      <c r="T8" s="251" t="s">
        <v>213</v>
      </c>
      <c r="U8" s="251" t="s">
        <v>214</v>
      </c>
      <c r="V8" s="251" t="s">
        <v>187</v>
      </c>
    </row>
    <row r="9" spans="1:22" s="8" customFormat="1" ht="15.75" customHeight="1" x14ac:dyDescent="0.3">
      <c r="A9" s="291"/>
      <c r="B9" s="6">
        <v>1</v>
      </c>
      <c r="C9" s="6">
        <v>2</v>
      </c>
      <c r="D9" s="6">
        <v>3</v>
      </c>
      <c r="E9" s="6">
        <v>4</v>
      </c>
      <c r="F9" s="6" t="s">
        <v>49</v>
      </c>
      <c r="G9" s="6" t="s">
        <v>50</v>
      </c>
      <c r="H9" s="6">
        <v>1</v>
      </c>
      <c r="I9" s="6">
        <v>2</v>
      </c>
      <c r="J9" s="6">
        <v>3</v>
      </c>
      <c r="K9" s="6">
        <v>4</v>
      </c>
      <c r="L9" s="6" t="s">
        <v>49</v>
      </c>
      <c r="M9" s="6" t="s">
        <v>50</v>
      </c>
      <c r="N9" s="7" t="s">
        <v>51</v>
      </c>
      <c r="O9" s="265"/>
      <c r="P9" s="298"/>
      <c r="Q9" s="252"/>
      <c r="R9" s="251"/>
      <c r="S9" s="251"/>
      <c r="T9" s="251"/>
      <c r="U9" s="251"/>
      <c r="V9" s="251"/>
    </row>
    <row r="10" spans="1:22" ht="18" x14ac:dyDescent="0.35">
      <c r="A10" s="9" t="s">
        <v>14</v>
      </c>
      <c r="B10" s="23">
        <f>IF($I$6="ALL",COUNTIFS(Database!$G$4:$G$1048576,"=1",Database!$D$4:$D$1048576,$I$5,Database!$B$4:$B$1048576,$I$4),IF($I$6="Apotek",COUNTIFS(Database!$G$4:$G$1048576,"=1",Database!$D$4:$D$1048576,$I$5,Database!$F$4:$F$1048576,$I$6,Database!$B$4:$B$1048576,$I$4),IF($I$6="Rumah sakit",COUNTIFS(Database!$G$4:$G$1048576,"=1",Database!$D$4:$D$1048576,$I$5,Database!$F$4:$F$1048576,$I$6,Database!$B$4:$B$1048576,$I$4),IF($I$6="Subdis",COUNTIFS(Database!$G$4:$G$1048576,"=1",Database!$D$4:$D$1048576,$I$5,Database!$F$4:$F$1048576,$I$6,Database!$B$4:$B$1048576,$I$4),0))))</f>
        <v>0</v>
      </c>
      <c r="C10" s="23">
        <f>IF($I$6="ALL",COUNTIFS(Database!$B$4:$B$1048576,$I$4,Database!$G$4:$G$1048576,"=2",Database!$D$4:$D$1048576,$I$5),IF($I$6="Apotek",COUNTIFS(Database!$B$4:$B$1048576,$I$4,Database!$G$4:$G$1048576,"=2",Database!$D$4:$D$1048576,$I$5,Database!$F$4:$F$1048576,$I$6),IF($I$6="Rumah sakit",COUNTIFS(Database!$B$4:$B$1048576,$I$4,Database!$G$4:$G$1048576,"=2",Database!$D$4:$D$1048576,$I$5,Database!$F$4:$F$1048576,$I$6),IF($I$6="Subdis",COUNTIFS(Database!$B$4:$B$1048576,$I$4,Database!$G$4:$G$1048576,"=2",Database!$D$4:$D$1048576,$I$5,Database!$F$4:$F$1048576,$I$6),0))))</f>
        <v>0</v>
      </c>
      <c r="D10" s="23">
        <f>IF($I$6="ALL",COUNTIFS(Database!$B$4:$B$1048576,$I$4,Database!$G$4:$G$1048576,"=3",Database!$D$4:$D$1048576,$I$5),IF($I$6="Apotek",COUNTIFS(Database!$B$4:$B$1048576,$I$4,Database!$G$4:$G$1048576,"=3",Database!$D$4:$D$1048576,$I$5,Database!$F$4:$F$1048576,$I$6),IF($I$6="Rumah sakit",COUNTIFS(Database!$B$4:$B$1048576,$I$4,Database!$G$4:$G$1048576,"=3",Database!$D$4:$D$1048576,$I$5,Database!$F$4:$F$1048576,$I$6),IF($I$6="Subdis",COUNTIFS(Database!$B$4:$B$1048576,$I$4,Database!$G$4:$G$1048576,"=3",Database!$D$4:$D$1048576,$I$5,Database!$F$4:$F$1048576,$I$6),0))))</f>
        <v>0</v>
      </c>
      <c r="E10" s="23">
        <f>IF($I$6="ALL",COUNTIFS(Database!$B$4:$B$1048576,$I$4,Database!$G$4:$G$1048576,"=4",Database!$D$4:$D$1048576,$I$5),IF($I$6="Apotek",COUNTIFS(Database!$B$4:$B$1048576,$I$4,Database!$G$4:$G$1048576,"=4",Database!$D$4:$D$1048576,$I$5,Database!$F$4:$F$1048576,$I$6),IF($I$6="Rumah sakit",COUNTIFS(Database!$B$4:$B$1048576,$I$4,Database!$G$4:$G$1048576,"=4",Database!$D$4:$D$1048576,$I$5,Database!$F$4:$F$1048576,$I$6),IF($I$6="Subdis",COUNTIFS(Database!$B$4:$B$1048576,$I$4,Database!$G$4:$G$1048576,"=4",Database!$D$4:$D$1048576,$I$5,Database!$F$4:$F$1048576,$I$6),0))))</f>
        <v>0</v>
      </c>
      <c r="F10" s="9">
        <f>(B10*$B$9)+(C10*$C$9)+(D10*$D$9)+(E10*$E$9)</f>
        <v>0</v>
      </c>
      <c r="G10" s="10" t="e">
        <f>F10/(E10+D10+C10+B10)</f>
        <v>#DIV/0!</v>
      </c>
      <c r="H10" s="23">
        <f>IF($I$6="ALL",COUNTIFS(Database!$AC$4:$AC$1048576,$I$4,Database!$AH$4:$AH$1048576,"=1",Database!$AE$4:$AE$1048576,$I$5),IF($I$6="Apotek",COUNTIFS(Database!$AC$4:$AC$1048576,$I$4,Database!$AH$4:$AH$1048576,"=1",Database!$AE$4:$AE$1048576,$I$5,Database!$AG$4:$AG$1048576,$I$6),IF($I$6="Rumah sakit",COUNTIFS(Database!$AC$4:$AC$1048576,$I$4,Database!$AH$4:$AH$1048576,"=1",Database!$AE$4:$AE$1048576,$I$5,Database!$AG$4:$AG$1048576,$I$6),IF($I$6="Subdis",COUNTIFS(Database!$AC$4:$AC$1048576,$I$4,Database!$AH$4:$AH$1048576,"=1",Database!$AE$4:$AE$1048576,$I$5,Database!$AG$4:$AG$1048576,$I$6),0))))</f>
        <v>0</v>
      </c>
      <c r="I10" s="23">
        <f>IF($I$6="ALL",COUNTIFS(Database!$AC$4:$AC$1048576,$I$4,Database!$AH$4:$AH$1048576,"=2",Database!$AE$4:$AE$1048576,$I$5),IF($I$6="Apotek",COUNTIFS(Database!$AC$4:$AC$1048576,$I$4,Database!$AH$4:$AH$1048576,"=2",Database!$AE$4:$AE$1048576,$I$5,Database!$AG$4:$AG$1048576,$I$6),IF($I$6="Rumah sakit",COUNTIFS(Database!$AC$4:$AC$1048576,$I$4,Database!$AH$4:$AH$1048576,"=2",Database!$AE$4:$AE$1048576,$I$5,Database!$AG$4:$AG$1048576,$I$6),IF($I$6="Subdis",COUNTIFS(Database!$AC$4:$AC$1048576,$I$4,Database!$AH$4:$AH$1048576,"=2",Database!$AE$4:$AE$1048576,$I$5,Database!$AG$4:$AG$1048576,$I$6),0))))</f>
        <v>0</v>
      </c>
      <c r="J10" s="23">
        <f>IF($I$6="ALL",COUNTIFS(Database!$AC$4:$AC$1048576,$I$4,Database!$AH$4:$AH$1048576,"=3",Database!$AE$4:$AE$1048576,$I$5),IF($I$6="Apotek",COUNTIFS(Database!$AC$4:$AC$1048576,$I$4,Database!$AH$4:$AH$1048576,"=3",Database!$AE$4:$AE$1048576,$I$5,Database!$AG$4:$AG$1048576,$I$6),IF($I$6="Rumah sakit",COUNTIFS(Database!$AC$4:$AC$1048576,$I$4,Database!$AH$4:$AH$1048576,"=3",Database!$AE$4:$AE$1048576,$I$5,Database!$AG$4:$AG$1048576,$I$6),IF($I$6="Subdis",COUNTIFS(Database!$AC$4:$AC$1048576,$I$4,Database!$AH$4:$AH$1048576,"=3",Database!$AE$4:$AE$1048576,$I$5,Database!$AG$4:$AG$1048576,$I$6),0))))</f>
        <v>0</v>
      </c>
      <c r="K10" s="23">
        <f>IF($I$6="ALL",COUNTIFS(Database!$AC$4:$AC$1048576,$I$4,Database!$AH$4:$AH$1048576,"=4",Database!$AE$4:$AE$1048576,$I$5),IF($I$6="Apotek",COUNTIFS(Database!$AC$4:$AC$1048576,$I$4,Database!$AH$4:$AH$1048576,"=4",Database!$AE$4:$AE$1048576,$I$5,Database!$AG$4:$AG$1048576,$I$6),IF($I$6="Rumah sakit",COUNTIFS(Database!$AC$4:$AC$1048576,$I$4,Database!$AH$4:$AH$1048576,"=4",Database!$AE$4:$AE$1048576,$I$5,Database!$AG$4:$AG$1048576,$I$6),IF($I$6="Subdis",COUNTIFS(Database!$AC$4:$AC$1048576,$I$4,Database!$AH$4:$AH$1048576,"=4",Database!$AE$4:$AE$1048576,$I$5,Database!$AG$4:$AG$1048576,$I$6),0))))</f>
        <v>0</v>
      </c>
      <c r="L10" s="9">
        <f>(H10*$H$9)+(I10*$I$9)+(J10*$J$9)+(K10*$K$9)</f>
        <v>0</v>
      </c>
      <c r="M10" s="10" t="e">
        <f>L10/(K10+J10+I10+H10)</f>
        <v>#DIV/0!</v>
      </c>
      <c r="N10" s="10" t="e">
        <f>+M10-G10</f>
        <v>#DIV/0!</v>
      </c>
      <c r="O10" s="32" t="e">
        <f>RANK(N10,$N$10:$N$29,0)</f>
        <v>#DIV/0!</v>
      </c>
      <c r="P10" s="11" t="s">
        <v>52</v>
      </c>
      <c r="Q10" s="32" t="e">
        <f>RANK(N10,$N$10:$N$13)</f>
        <v>#DIV/0!</v>
      </c>
      <c r="R10" s="81" t="e">
        <f>RANK(G10,$G$10:$G$29)</f>
        <v>#DIV/0!</v>
      </c>
      <c r="S10" s="81" t="e">
        <f>RANK(M10,$M$10:$M$29)</f>
        <v>#DIV/0!</v>
      </c>
      <c r="T10" s="81" t="e">
        <f>RANK(G10,$G$10:$G$13)</f>
        <v>#DIV/0!</v>
      </c>
      <c r="U10" s="81" t="e">
        <f>RANK(M10,$M$10:$M$13)</f>
        <v>#DIV/0!</v>
      </c>
      <c r="V10" s="257" t="s">
        <v>181</v>
      </c>
    </row>
    <row r="11" spans="1:22" ht="18" x14ac:dyDescent="0.35">
      <c r="A11" s="9" t="s">
        <v>15</v>
      </c>
      <c r="B11" s="23">
        <f>IF($I$6="ALL",COUNTIFS(Database!$B$4:$B$1048576,$I$4,Database!$H$4:$H$1048576,"=1",Database!$D$4:$D$1048576,$I$5),IF($I$6="Apotek",COUNTIFS(Database!$B$4:$B$1048576,$I$4,Database!$H$4:$H$1048576,"=1",Database!$D$4:$D$1048576,$I$5,Database!$F$4:$F$1048576,$I$6),IF($I$6="Rumah sakit",COUNTIFS(Database!$B$4:$B$1048576,$I$4,Database!$H$4:$H$1048576,"=1",Database!$D$4:$D$1048576,$I$5,Database!$F$4:$F$1048576,$I$6),IF($I$6="Subdis",COUNTIFS(Database!$B$4:$B$1048576,$I$4,Database!$H$4:$H$1048576,"=1",Database!$D$4:$D$1048576,$I$5,Database!$F$4:$F$1048576,$I$6),0))))</f>
        <v>0</v>
      </c>
      <c r="C11" s="23">
        <f>IF($I$6="ALL",COUNTIFS(Database!$B$4:$B$1048576,$I$4,Database!$H$4:$H$1048576,"=2",Database!$D$4:$D$1048576,$I$5),IF($I$6="Apotek",COUNTIFS(Database!$B$4:$B$1048576,$I$4,Database!$H$4:$H$1048576,"=2",Database!$D$4:$D$1048576,$I$5,Database!$F$4:$F$1048576,$I$6),IF($I$6="Rumah sakit",COUNTIFS(Database!$B$4:$B$1048576,$I$4,Database!$H$4:$H$1048576,"=2",Database!$D$4:$D$1048576,$I$5,Database!$F$4:$F$1048576,$I$6),IF($I$6="Subdis",COUNTIFS(Database!$B$4:$B$1048576,$I$4,Database!$H$4:$H$1048576,"=2",Database!$D$4:$D$1048576,$I$5,Database!$F$4:$F$1048576,$I$6),0))))</f>
        <v>0</v>
      </c>
      <c r="D11" s="23">
        <f>IF($I$6="ALL",COUNTIFS(Database!$B$4:$B$1048576,$I$4,Database!$H$4:$H$1048576,"=3",Database!$D$4:$D$1048576,$I$5),IF($I$6="Apotek",COUNTIFS(Database!$B$4:$B$1048576,$I$4,Database!$H$4:$H$1048576,"=3",Database!$D$4:$D$1048576,$I$5,Database!$F$4:$F$1048576,$I$6),IF($I$6="Rumah sakit",COUNTIFS(Database!$B$4:$B$1048576,$I$4,Database!$H$4:$H$1048576,"=3",Database!$D$4:$D$1048576,$I$5,Database!$F$4:$F$1048576,$I$6),IF($I$6="Subdis",COUNTIFS(Database!$B$4:$B$1048576,$I$4,Database!$H$4:$H$1048576,"=3",Database!$D$4:$D$1048576,$I$5,Database!$F$4:$F$1048576,$I$6),0))))</f>
        <v>0</v>
      </c>
      <c r="E11" s="23">
        <f>IF($I$6="ALL",COUNTIFS(Database!$B$4:$B$1048576,$I$4,Database!$H$4:$H$1048576,"=4",Database!$D$4:$D$1048576,$I$5),IF($I$6="Apotek",COUNTIFS(Database!$B$4:$B$1048576,$I$4,Database!$H$4:$H$1048576,"=4",Database!$D$4:$D$1048576,$I$5,Database!$F$4:$F$1048576,$I$6),IF($I$6="Rumah sakit",COUNTIFS(Database!$B$4:$B$1048576,$I$4,Database!$H$4:$H$1048576,"=4",Database!$D$4:$D$1048576,$I$5,Database!$F$4:$F$1048576,$I$6),IF($I$6="Subdis",COUNTIFS(Database!$B$4:$B$1048576,$I$4,Database!$H$4:$H$1048576,"=4",Database!$D$4:$D$1048576,$I$5,Database!$F$4:$F$1048576,$I$6),0))))</f>
        <v>0</v>
      </c>
      <c r="F11" s="9">
        <f t="shared" ref="F11:F29" si="0">(B11*$B$9)+(C11*$C$9)+(D11*$D$9)+(E11*$E$9)</f>
        <v>0</v>
      </c>
      <c r="G11" s="10" t="e">
        <f>F11/(E11+D11+C11+B11)</f>
        <v>#DIV/0!</v>
      </c>
      <c r="H11" s="23">
        <f>IF($I$6="ALL",COUNTIFS(Database!$AC$4:$AC$1048576,$I$4,Database!$AI$4:$AI$1048576,"=1",Database!$AE$4:$AE$1048576,$I$5),IF($I$6="Apotek",COUNTIFS(Database!$AC$4:$AC$1048576,$I$4,Database!$AI$4:$AI$1048576,"=1",Database!$AE$4:$AE$1048576,$I$5,Database!$AG$4:$AG$1048576,$I$6),IF($I$6="Rumah sakit",COUNTIFS(Database!$AC$4:$AC$1048576,$I$4,Database!$AI$4:$AI$1048576,"=1",Database!$AE$4:$AE$1048576,$I$5,Database!$AG$4:$AG$1048576,$I$6),IF($I$6="Subdis",COUNTIFS(Database!$AC$4:$AC$1048576,$I$4,Database!$AI$4:$AI$1048576,"=1",Database!$AE$4:$AE$1048576,$I$5,Database!$AG$4:$AG$1048576,$I$6),0))))</f>
        <v>0</v>
      </c>
      <c r="I11" s="23">
        <f>IF($I$6="ALL",COUNTIFS(Database!$AC$4:$AC$1048576,$I$4,Database!$AI$4:$AI$1048576,"=2",Database!$AE$4:$AE$1048576,$I$5),IF($I$6="Apotek",COUNTIFS(Database!$AC$4:$AC$1048576,$I$4,Database!$AI$4:$AI$1048576,"=2",Database!$AE$4:$AE$1048576,$I$5,Database!$AG$4:$AG$1048576,$I$6),IF($I$6="Rumah sakit",COUNTIFS(Database!$AC$4:$AC$1048576,$I$4,Database!$AI$4:$AI$1048576,"=2",Database!$AE$4:$AE$1048576,$I$5,Database!$AG$4:$AG$1048576,$I$6),IF($I$6="Subdis",COUNTIFS(Database!$AC$4:$AC$1048576,$I$4,Database!$AI$4:$AI$1048576,"=2",Database!$AE$4:$AE$1048576,$I$5,Database!$AG$4:$AG$1048576,$I$6),0))))</f>
        <v>0</v>
      </c>
      <c r="J11" s="23">
        <f>IF($I$6="ALL",COUNTIFS(Database!$AC$4:$AC$1048576,$I$4,Database!$AI$4:$AI$1048576,"=3",Database!$AE$4:$AE$1048576,$I$5),IF($I$6="Apotek",COUNTIFS(Database!$AC$4:$AC$1048576,$I$4,Database!$AI$4:$AI$1048576,"=3",Database!$AE$4:$AE$1048576,$I$5,Database!$AG$4:$AG$1048576,$I$6),IF($I$6="Rumah sakit",COUNTIFS(Database!$AC$4:$AC$1048576,$I$4,Database!$AI$4:$AI$1048576,"=3",Database!$AE$4:$AE$1048576,$I$5,Database!$AG$4:$AG$1048576,$I$6),IF($I$6="Subdis",COUNTIFS(Database!$AC$4:$AC$1048576,$I$4,Database!$AI$4:$AI$1048576,"=3",Database!$AE$4:$AE$1048576,$I$5,Database!$AG$4:$AG$1048576,$I$6),0))))</f>
        <v>0</v>
      </c>
      <c r="K11" s="23">
        <f>IF($I$6="ALL",COUNTIFS(Database!$AC$4:$AC$1048576,$I$4,Database!$AI$4:$AI$1048576,"=4",Database!$AE$4:$AE$1048576,$I$5),IF($I$6="Apotek",COUNTIFS(Database!$AC$4:$AC$1048576,$I$4,Database!$AI$4:$AI$1048576,"=4",Database!$AE$4:$AE$1048576,$I$5,Database!$AG$4:$AG$1048576,$I$6),IF($I$6="Rumah sakit",COUNTIFS(Database!$AC$4:$AC$1048576,$I$4,Database!$AI$4:$AI$1048576,"=4",Database!$AE$4:$AE$1048576,$I$5,Database!$AG$4:$AG$1048576,$I$6),IF($I$6="Subdis",COUNTIFS(Database!$AC$4:$AC$1048576,$I$4,Database!$AI$4:$AI$1048576,"=4",Database!$AE$4:$AE$1048576,$I$5,Database!$AG$4:$AG$1048576,$I$6),0))))</f>
        <v>0</v>
      </c>
      <c r="L11" s="9">
        <f t="shared" ref="L11:L29" si="1">(H11*$H$9)+(I11*$I$9)+(J11*$J$9)+(K11*$K$9)</f>
        <v>0</v>
      </c>
      <c r="M11" s="10" t="e">
        <f t="shared" ref="M11:M29" si="2">L11/(K11+J11+I11+H11)</f>
        <v>#DIV/0!</v>
      </c>
      <c r="N11" s="10" t="e">
        <f t="shared" ref="N11:N29" si="3">+M11-G11</f>
        <v>#DIV/0!</v>
      </c>
      <c r="O11" s="32" t="e">
        <f t="shared" ref="O11:O29" si="4">RANK(N11,$N$10:$N$29,0)</f>
        <v>#DIV/0!</v>
      </c>
      <c r="P11" s="11" t="s">
        <v>53</v>
      </c>
      <c r="Q11" s="32" t="e">
        <f t="shared" ref="Q11:Q13" si="5">RANK(N11,$N$10:$N$13)</f>
        <v>#DIV/0!</v>
      </c>
      <c r="R11" s="81" t="e">
        <f t="shared" ref="R11:R29" si="6">RANK(G11,$G$10:$G$29)</f>
        <v>#DIV/0!</v>
      </c>
      <c r="S11" s="81" t="e">
        <f t="shared" ref="S11:S29" si="7">RANK(M11,$M$10:$M$29)</f>
        <v>#DIV/0!</v>
      </c>
      <c r="T11" s="81" t="e">
        <f t="shared" ref="T11:T13" si="8">RANK(G11,$G$10:$G$13)</f>
        <v>#DIV/0!</v>
      </c>
      <c r="U11" s="81" t="e">
        <f t="shared" ref="U11:U13" si="9">RANK(M11,$M$10:$M$13)</f>
        <v>#DIV/0!</v>
      </c>
      <c r="V11" s="257"/>
    </row>
    <row r="12" spans="1:22" ht="18" x14ac:dyDescent="0.35">
      <c r="A12" s="9" t="s">
        <v>16</v>
      </c>
      <c r="B12" s="23">
        <f>IF($I$6="ALL",COUNTIFS(Database!$B$4:$B$1048576,$I$4,Database!$I$4:$I$1048576,"=1",Database!$D$4:$D$1048576,$I$5),IF($I$6="Apotek",COUNTIFS(Database!$B$4:$B$1048576,$I$4,Database!$I$4:$I$1048576,"=1",Database!$D$4:$D$1048576,$I$5,Database!$F$4:$F$1048576,$I$6),IF($I$6="Rumah sakit",COUNTIFS(Database!$B$4:$B$1048576,$I$4,Database!$I$4:$I$1048576,"=1",Database!$D$4:$D$1048576,$I$5,Database!$F$4:$F$1048576,$I$6),IF($I$6="Subdis",COUNTIFS(Database!$B$4:$B$1048576,$I$4,Database!$I$4:$I$1048576,"=1",Database!$D$4:$D$1048576,$I$5,Database!$F$4:$F$1048576,$I$6),0))))</f>
        <v>0</v>
      </c>
      <c r="C12" s="23">
        <f>IF($I$6="ALL",COUNTIFS(Database!$B$4:$B$1048576,$I$4,Database!$I$4:$I$1048576,"=2",Database!$D$4:$D$1048576,$I$5),IF($I$6="Apotek",COUNTIFS(Database!$B$4:$B$1048576,$I$4,Database!$I$4:$I$1048576,"=2",Database!$D$4:$D$1048576,$I$5,Database!$F$4:$F$1048576,$I$6),IF($I$6="Rumah sakit",COUNTIFS(Database!$B$4:$B$1048576,$I$4,Database!$I$4:$I$1048576,"=2",Database!$D$4:$D$1048576,$I$5,Database!$F$4:$F$1048576,$I$6),IF($I$6="Subdis",COUNTIFS(Database!$B$4:$B$1048576,$I$4,Database!$I$4:$I$1048576,"=2",Database!$D$4:$D$1048576,$I$5,Database!$F$4:$F$1048576,$I$6),0))))</f>
        <v>0</v>
      </c>
      <c r="D12" s="23">
        <f>IF($I$6="ALL",COUNTIFS(Database!$B$4:$B$1048576,$I$4,Database!$I$4:$I$1048576,"=3",Database!$D$4:$D$1048576,$I$5),IF($I$6="Apotek",COUNTIFS(Database!$B$4:$B$1048576,$I$4,Database!$I$4:$I$1048576,"=3",Database!$D$4:$D$1048576,$I$5,Database!$F$4:$F$1048576,$I$6),IF($I$6="Rumah sakit",COUNTIFS(Database!$B$4:$B$1048576,$I$4,Database!$I$4:$I$1048576,"=3",Database!$D$4:$D$1048576,$I$5,Database!$F$4:$F$1048576,$I$6),IF($I$6="Subdis",COUNTIFS(Database!$B$4:$B$1048576,$I$4,Database!$I$4:$I$1048576,"=3",Database!$D$4:$D$1048576,$I$5,Database!$F$4:$F$1048576,$I$6),0))))</f>
        <v>0</v>
      </c>
      <c r="E12" s="23">
        <f>IF($I$6="ALL",COUNTIFS(Database!$B$4:$B$1048576,$I$4,Database!$I$4:$I$1048576,"=4",Database!$D$4:$D$1048576,$I$5),IF($I$6="Apotek",COUNTIFS(Database!$B$4:$B$1048576,$I$4,Database!$I$4:$I$1048576,"=4",Database!$D$4:$D$1048576,$I$5,Database!$F$4:$F$1048576,$I$6),IF($I$6="Rumah sakit",COUNTIFS(Database!$B$4:$B$1048576,$I$4,Database!$I$4:$I$1048576,"=4",Database!$D$4:$D$1048576,$I$5,Database!$F$4:$F$1048576,$I$6),IF($I$6="Subdis",COUNTIFS(Database!$B$4:$B$1048576,$I$4,Database!$I$4:$I$1048576,"=4",Database!$D$4:$D$1048576,$I$5,Database!$F$4:$F$1048576,$I$6),0))))</f>
        <v>0</v>
      </c>
      <c r="F12" s="9">
        <f>(B12*$B$9)+(C12*$C$9)+(D12*$D$9)+(E12*$E$9)</f>
        <v>0</v>
      </c>
      <c r="G12" s="10" t="e">
        <f t="shared" ref="G12:G29" si="10">F12/(E12+D12+C12+B12)</f>
        <v>#DIV/0!</v>
      </c>
      <c r="H12" s="23">
        <f>IF($I$6="ALL",COUNTIFS(Database!$AC$4:$AC$1048576,$I$4,Database!$AJ$4:$AJ$1048576,"=1",Database!$AE$4:$AE$1048576,$I$5),IF($I$6="Apotek",COUNTIFS(Database!$AC$4:$AC$1048576,$I$4,Database!$AJ$4:$AJ$1048576,"=1",Database!$AE$4:$AE$1048576,$I$5,Database!$AG$4:$AG$1048576,$I$6),IF($I$6="Rumah sakit",COUNTIFS(Database!$AC$4:$AC$1048576,$I$4,Database!$AJ$4:$AJ$1048576,"=1",Database!$AE$4:$AE$1048576,$I$5,Database!$AG$4:$AG$1048576,$I$6),IF($I$6="Subdis",COUNTIFS(Database!$AC$4:$AC$1048576,$I$4,Database!$AJ$4:$AJ$1048576,"=1",Database!$AE$4:$AE$1048576,$I$5,Database!$AG$4:$AG$1048576,$I$6),0))))</f>
        <v>0</v>
      </c>
      <c r="I12" s="23">
        <f>IF($I$6="ALL",COUNTIFS(Database!$AC$4:$AC$1048576,$I$4,Database!$AJ$4:$AJ$1048576,"=2",Database!$AE$4:$AE$1048576,$I$5),IF($I$6="Apotek",COUNTIFS(Database!$AC$4:$AC$1048576,$I$4,Database!$AJ$4:$AJ$1048576,"=2",Database!$AE$4:$AE$1048576,$I$5,Database!$AG$4:$AG$1048576,$I$6),IF($I$6="Rumah sakit",COUNTIFS(Database!$AC$4:$AC$1048576,$I$4,Database!$AJ$4:$AJ$1048576,"=2",Database!$AE$4:$AE$1048576,$I$5,Database!$AG$4:$AG$1048576,$I$6),IF($I$6="Subdis",COUNTIFS(Database!$AC$4:$AC$1048576,$I$4,Database!$AJ$4:$AJ$1048576,"=2",Database!$AE$4:$AE$1048576,$I$5,Database!$AG$4:$AG$1048576,$I$6),0))))</f>
        <v>0</v>
      </c>
      <c r="J12" s="23">
        <f>IF($I$6="ALL",COUNTIFS(Database!$AC$4:$AC$1048576,$I$4,Database!$AJ$4:$AJ$1048576,"=3",Database!$AE$4:$AE$1048576,$I$5),IF($I$6="Apotek",COUNTIFS(Database!$AC$4:$AC$1048576,$I$4,Database!$AJ$4:$AJ$1048576,"=3",Database!$AE$4:$AE$1048576,$I$5,Database!$AG$4:$AG$1048576,$I$6),IF($I$6="Rumah sakit",COUNTIFS(Database!$AC$4:$AC$1048576,$I$4,Database!$AJ$4:$AJ$1048576,"=3",Database!$AE$4:$AE$1048576,$I$5,Database!$AG$4:$AG$1048576,$I$6),IF($I$6="Subdis",COUNTIFS(Database!$AC$4:$AC$1048576,$I$4,Database!$AJ$4:$AJ$1048576,"=3",Database!$AE$4:$AE$1048576,$I$5,Database!$AG$4:$AG$1048576,$I$6),0))))</f>
        <v>0</v>
      </c>
      <c r="K12" s="23">
        <f>IF($I$6="ALL",COUNTIFS(Database!$AC$4:$AC$1048576,$I$4,Database!$AJ$4:$AJ$1048576,"=4",Database!$AE$4:$AE$1048576,$I$5),IF($I$6="Apotek",COUNTIFS(Database!$AC$4:$AC$1048576,$I$4,Database!$AJ$4:$AJ$1048576,"=4",Database!$AE$4:$AE$1048576,$I$5,Database!$AG$4:$AG$1048576,$I$6),IF($I$6="Rumah sakit",COUNTIFS(Database!$AC$4:$AC$1048576,$I$4,Database!$AJ$4:$AJ$1048576,"=4",Database!$AE$4:$AE$1048576,$I$5,Database!$AG$4:$AG$1048576,$I$6),IF($I$6="Subdis",COUNTIFS(Database!$AC$4:$AC$1048576,$I$4,Database!$AJ$4:$AJ$1048576,"=4",Database!$AE$4:$AE$1048576,$I$5,Database!$AG$4:$AG$1048576,$I$6),0))))</f>
        <v>0</v>
      </c>
      <c r="L12" s="9">
        <f t="shared" si="1"/>
        <v>0</v>
      </c>
      <c r="M12" s="10" t="e">
        <f t="shared" si="2"/>
        <v>#DIV/0!</v>
      </c>
      <c r="N12" s="10" t="e">
        <f t="shared" si="3"/>
        <v>#DIV/0!</v>
      </c>
      <c r="O12" s="32" t="e">
        <f t="shared" si="4"/>
        <v>#DIV/0!</v>
      </c>
      <c r="P12" s="11" t="s">
        <v>0</v>
      </c>
      <c r="Q12" s="32" t="e">
        <f t="shared" si="5"/>
        <v>#DIV/0!</v>
      </c>
      <c r="R12" s="81" t="e">
        <f t="shared" si="6"/>
        <v>#DIV/0!</v>
      </c>
      <c r="S12" s="81" t="e">
        <f t="shared" si="7"/>
        <v>#DIV/0!</v>
      </c>
      <c r="T12" s="81" t="e">
        <f t="shared" si="8"/>
        <v>#DIV/0!</v>
      </c>
      <c r="U12" s="81" t="e">
        <f t="shared" si="9"/>
        <v>#DIV/0!</v>
      </c>
      <c r="V12" s="257"/>
    </row>
    <row r="13" spans="1:22" ht="18" x14ac:dyDescent="0.35">
      <c r="A13" s="9" t="s">
        <v>17</v>
      </c>
      <c r="B13" s="23">
        <f>IF($I$6="ALL",COUNTIFS(Database!$B$4:$B$1048576,$I$4,Database!$J$4:$J$1048576,"=1",Database!$D$4:$D$1048576,$I$5),IF($I$6="Apotek",COUNTIFS(Database!$B$4:$B$1048576,$I$4,Database!$J$4:$J$1048576,"=1",Database!$D$4:$D$1048576,$I$5,Database!$F$4:$F$1048576,$I$6),IF($I$6="Rumah sakit",COUNTIFS(Database!$B$4:$B$1048576,$I$4,Database!$J$4:$J$1048576,"=1",Database!$D$4:$D$1048576,$I$5,Database!$F$4:$F$1048576,$I$6),IF($I$6="Subdis",COUNTIFS(Database!$B$4:$B$1048576,$I$4,Database!$J$4:$J$1048576,"=1",Database!$D$4:$D$1048576,$I$5,Database!$F$4:$F$1048576,$I$6),0))))</f>
        <v>0</v>
      </c>
      <c r="C13" s="23">
        <f>IF($I$6="ALL",COUNTIFS(Database!$B$4:$B$1048576,$I$4,Database!$J$4:$J$1048576,"=2",Database!$D$4:$D$1048576,$I$5),IF($I$6="Apotek",COUNTIFS(Database!$B$4:$B$1048576,$I$4,Database!$J$4:$J$1048576,"=2",Database!$D$4:$D$1048576,$I$5,Database!$F$4:$F$1048576,$I$6),IF($I$6="Rumah sakit",COUNTIFS(Database!$B$4:$B$1048576,$I$4,Database!$J$4:$J$1048576,"=2",Database!$D$4:$D$1048576,$I$5,Database!$F$4:$F$1048576,$I$6),IF($I$6="Subdis",COUNTIFS(Database!$B$4:$B$1048576,$I$4,Database!$J$4:$J$1048576,"=2",Database!$D$4:$D$1048576,$I$5,Database!$F$4:$F$1048576,$I$6),0))))</f>
        <v>0</v>
      </c>
      <c r="D13" s="23">
        <f>IF($I$6="ALL",COUNTIFS(Database!$B$4:$B$1048576,$I$4,Database!$J$4:$J$1048576,"=3",Database!$D$4:$D$1048576,$I$5),IF($I$6="Apotek",COUNTIFS(Database!$B$4:$B$1048576,$I$4,Database!$J$4:$J$1048576,"=3",Database!$D$4:$D$1048576,$I$5,Database!$F$4:$F$1048576,$I$6),IF($I$6="Rumah sakit",COUNTIFS(Database!$B$4:$B$1048576,$I$4,Database!$J$4:$J$1048576,"=3",Database!$D$4:$D$1048576,$I$5,Database!$F$4:$F$1048576,$I$6),IF($I$6="Subdis",COUNTIFS(Database!$B$4:$B$1048576,$I$4,Database!$J$4:$J$1048576,"=3",Database!$D$4:$D$1048576,$I$5,Database!$F$4:$F$1048576,$I$6),0))))</f>
        <v>0</v>
      </c>
      <c r="E13" s="23">
        <f>IF($I$6="ALL",COUNTIFS(Database!$B$4:$B$1048576,$I$4,Database!$J$4:$J$1048576,"=4",Database!$D$4:$D$1048576,$I$5),IF($I$6="Apotek",COUNTIFS(Database!$B$4:$B$1048576,$I$4,Database!$J$4:$J$1048576,"=4",Database!$D$4:$D$1048576,$I$5,Database!$F$4:$F$1048576,$I$6),IF($I$6="Rumah sakit",COUNTIFS(Database!$B$4:$B$1048576,$I$4,Database!$J$4:$J$1048576,"=4",Database!$D$4:$D$1048576,$I$5,Database!$F$4:$F$1048576,$I$6),IF($I$6="Subdis",COUNTIFS(Database!$B$4:$B$1048576,$I$4,Database!$J$4:$J$1048576,"=4",Database!$D$4:$D$1048576,$I$5,Database!$F$4:$F$1048576,$I$6),0))))</f>
        <v>0</v>
      </c>
      <c r="F13" s="9">
        <f t="shared" si="0"/>
        <v>0</v>
      </c>
      <c r="G13" s="10" t="e">
        <f t="shared" si="10"/>
        <v>#DIV/0!</v>
      </c>
      <c r="H13" s="23">
        <f>IF($I$6="ALL",COUNTIFS(Database!$AC$4:$AC$1048576,$I$4,Database!$AK$4:$AK$1048576,"=1",Database!$AE$4:$AE$1048576,$I$5),IF($I$6="Apotek",COUNTIFS(Database!$AC$4:$AC$1048576,$I$4,Database!$AK$4:$AK$1048576,"=1",Database!$AE$4:$AE$1048576,$I$5,Database!$AG$4:$AG$1048576,$I$6),IF($I$6="Rumah sakit",COUNTIFS(Database!$AC$4:$AC$1048576,$I$4,Database!$AK$4:$AK$1048576,"=1",Database!$AE$4:$AE$1048576,$I$5,Database!$AG$4:$AG$1048576,$I$6),IF($I$6="Subdis",COUNTIFS(Database!$AC$4:$AC$1048576,$I$4,Database!$AK$4:$AK$1048576,"=1",Database!$AE$4:$AE$1048576,$I$5,Database!$AG$4:$AG$1048576,$I$6),0))))</f>
        <v>0</v>
      </c>
      <c r="I13" s="23">
        <f>IF($I$6="ALL",COUNTIFS(Database!$AC$4:$AC$1048576,$I$4,Database!$AK$4:$AK$1048576,"=2",Database!$AE$4:$AE$1048576,$I$5),IF($I$6="Apotek",COUNTIFS(Database!$AC$4:$AC$1048576,$I$4,Database!$AK$4:$AK$1048576,"=2",Database!$AE$4:$AE$1048576,$I$5,Database!$AG$4:$AG$1048576,$I$6),IF($I$6="Rumah sakit",COUNTIFS(Database!$AC$4:$AC$1048576,$I$4,Database!$AK$4:$AK$1048576,"=2",Database!$AE$4:$AE$1048576,$I$5,Database!$AG$4:$AG$1048576,$I$6),IF($I$6="Subdis",COUNTIFS(Database!$AC$4:$AC$1048576,$I$4,Database!$AK$4:$AK$1048576,"=2",Database!$AE$4:$AE$1048576,$I$5,Database!$AG$4:$AG$1048576,$I$6),0))))</f>
        <v>0</v>
      </c>
      <c r="J13" s="23">
        <f>IF($I$6="ALL",COUNTIFS(Database!$AC$4:$AC$1048576,$I$4,Database!$AK$4:$AK$1048576,"=3",Database!$AE$4:$AE$1048576,$I$5),IF($I$6="Apotek",COUNTIFS(Database!$AC$4:$AC$1048576,$I$4,Database!$AK$4:$AK$1048576,"=3",Database!$AE$4:$AE$1048576,$I$5,Database!$AG$4:$AG$1048576,$I$6),IF($I$6="Rumah sakit",COUNTIFS(Database!$AC$4:$AC$1048576,$I$4,Database!$AK$4:$AK$1048576,"=3",Database!$AE$4:$AE$1048576,$I$5,Database!$AG$4:$AG$1048576,$I$6),IF($I$6="Subdis",COUNTIFS(Database!$AC$4:$AC$1048576,$I$4,Database!$AK$4:$AK$1048576,"=3",Database!$AE$4:$AE$1048576,$I$5,Database!$AG$4:$AG$1048576,$I$6),0))))</f>
        <v>0</v>
      </c>
      <c r="K13" s="23">
        <f>IF($I$6="ALL",COUNTIFS(Database!$AC$4:$AC$1048576,$I$4,Database!$AK$4:$AK$1048576,"=4",Database!$AE$4:$AE$1048576,$I$5),IF($I$6="Apotek",COUNTIFS(Database!$AC$4:$AC$1048576,$I$4,Database!$AK$4:$AK$1048576,"=4",Database!$AE$4:$AE$1048576,$I$5,Database!$AG$4:$AG$1048576,$I$6),IF($I$6="Rumah sakit",COUNTIFS(Database!$AC$4:$AC$1048576,$I$4,Database!$AK$4:$AK$1048576,"=4",Database!$AE$4:$AE$1048576,$I$5,Database!$AG$4:$AG$1048576,$I$6),IF($I$6="Subdis",COUNTIFS(Database!$AC$4:$AC$1048576,$I$4,Database!$AK$4:$AK$1048576,"=4",Database!$AE$4:$AE$1048576,$I$5,Database!$AG$4:$AG$1048576,$I$6),0))))</f>
        <v>0</v>
      </c>
      <c r="L13" s="9">
        <f t="shared" si="1"/>
        <v>0</v>
      </c>
      <c r="M13" s="10" t="e">
        <f t="shared" si="2"/>
        <v>#DIV/0!</v>
      </c>
      <c r="N13" s="10" t="e">
        <f t="shared" si="3"/>
        <v>#DIV/0!</v>
      </c>
      <c r="O13" s="32" t="e">
        <f t="shared" si="4"/>
        <v>#DIV/0!</v>
      </c>
      <c r="P13" s="11" t="s">
        <v>1</v>
      </c>
      <c r="Q13" s="32" t="e">
        <f t="shared" si="5"/>
        <v>#DIV/0!</v>
      </c>
      <c r="R13" s="81" t="e">
        <f t="shared" si="6"/>
        <v>#DIV/0!</v>
      </c>
      <c r="S13" s="81" t="e">
        <f t="shared" si="7"/>
        <v>#DIV/0!</v>
      </c>
      <c r="T13" s="81" t="e">
        <f t="shared" si="8"/>
        <v>#DIV/0!</v>
      </c>
      <c r="U13" s="81" t="e">
        <f t="shared" si="9"/>
        <v>#DIV/0!</v>
      </c>
      <c r="V13" s="257"/>
    </row>
    <row r="14" spans="1:22" ht="18" x14ac:dyDescent="0.35">
      <c r="A14" s="9" t="s">
        <v>18</v>
      </c>
      <c r="B14" s="23">
        <f>IF($I$6="ALL",COUNTIFS(Database!$B$4:$B$1048576,$I$4,Database!$K$4:$K$1048576,"=1",Database!$D$4:$D$1048576,$I$5),IF($I$6="Apotek",COUNTIFS(Database!$B$4:$B$1048576,$I$4,Database!$K$4:$K$1048576,"=1",Database!$D$4:$D$1048576,$I$5,Database!$F$4:$F$1048576,$I$6),IF($I$6="Rumah sakit",COUNTIFS(Database!$B$4:$B$1048576,$I$4,Database!$K$4:$K$1048576,"=1",Database!$D$4:$D$1048576,$I$5,Database!$F$4:$F$1048576,$I$6),IF($I$6="Subdis",COUNTIFS(Database!$B$4:$B$1048576,$I$4,Database!$K$4:$K$1048576,"=1",Database!$D$4:$D$1048576,$I$5,Database!$F$4:$F$1048576,$I$6),0))))</f>
        <v>0</v>
      </c>
      <c r="C14" s="23">
        <f>IF($I$6="ALL",COUNTIFS(Database!$B$4:$B$1048576,$I$4,Database!$K$4:$K$1048576,"=2",Database!$D$4:$D$1048576,$I$5),IF($I$6="Apotek",COUNTIFS(Database!$B$4:$B$1048576,$I$4,Database!$K$4:$K$1048576,"=2",Database!$D$4:$D$1048576,$I$5,Database!$F$4:$F$1048576,$I$6),IF($I$6="Rumah sakit",COUNTIFS(Database!$B$4:$B$1048576,$I$4,Database!$K$4:$K$1048576,"=2",Database!$D$4:$D$1048576,$I$5,Database!$F$4:$F$1048576,$I$6),IF($I$6="Subdis",COUNTIFS(Database!$B$4:$B$1048576,$I$4,Database!$K$4:$K$1048576,"=2",Database!$D$4:$D$1048576,$I$5,Database!$F$4:$F$1048576,$I$6),0))))</f>
        <v>0</v>
      </c>
      <c r="D14" s="23">
        <f>IF($I$6="ALL",COUNTIFS(Database!$B$4:$B$1048576,$I$4,Database!$K$4:$K$1048576,"=3",Database!$D$4:$D$1048576,$I$5),IF($I$6="Apotek",COUNTIFS(Database!$B$4:$B$1048576,$I$4,Database!$K$4:$K$1048576,"=3",Database!$D$4:$D$1048576,$I$5,Database!$F$4:$F$1048576,$I$6),IF($I$6="Rumah sakit",COUNTIFS(Database!$B$4:$B$1048576,$I$4,Database!$K$4:$K$1048576,"=3",Database!$D$4:$D$1048576,$I$5,Database!$F$4:$F$1048576,$I$6),IF($I$6="Subdis",COUNTIFS(Database!$B$4:$B$1048576,$I$4,Database!$K$4:$K$1048576,"=3",Database!$D$4:$D$1048576,$I$5,Database!$F$4:$F$1048576,$I$6),0))))</f>
        <v>0</v>
      </c>
      <c r="E14" s="23">
        <f>IF($I$6="ALL",COUNTIFS(Database!$B$4:$B$1048576,$I$4,Database!$K$4:$K$1048576,"=4",Database!$D$4:$D$1048576,$I$5),IF($I$6="Apotek",COUNTIFS(Database!$B$4:$B$1048576,$I$4,Database!$K$4:$K$1048576,"=4",Database!$D$4:$D$1048576,$I$5,Database!$F$4:$F$1048576,$I$6),IF($I$6="Rumah sakit",COUNTIFS(Database!$B$4:$B$1048576,$I$4,Database!$K$4:$K$1048576,"=4",Database!$D$4:$D$1048576,$I$5,Database!$F$4:$F$1048576,$I$6),IF($I$6="Subdis",COUNTIFS(Database!$B$4:$B$1048576,$I$4,Database!$K$4:$K$1048576,"=4",Database!$D$4:$D$1048576,$I$5,Database!$F$4:$F$1048576,$I$6),0))))</f>
        <v>0</v>
      </c>
      <c r="F14" s="9">
        <f t="shared" si="0"/>
        <v>0</v>
      </c>
      <c r="G14" s="10" t="e">
        <f t="shared" si="10"/>
        <v>#DIV/0!</v>
      </c>
      <c r="H14" s="23">
        <f>IF($I$6="ALL",COUNTIFS(Database!$AC$4:$AC$1048576,$I$4,Database!$AL$4:$AL$1048576,"=1",Database!$AE$4:$AE$1048576,$I$5),IF($I$6="Apotek",COUNTIFS(Database!$AC$4:$AC$1048576,$I$4,Database!$AL$4:$AL$1048576,"=1",Database!$AE$4:$AE$1048576,$I$5,Database!$AG$4:$AG$1048576,$I$6),IF($I$6="Rumah sakit",COUNTIFS(Database!$AC$4:$AC$1048576,$I$4,Database!$AL$4:$AL$1048576,"=1",Database!$AE$4:$AE$1048576,$I$5,Database!$AG$4:$AG$1048576,$I$6),IF($I$6="Subdis",COUNTIFS(Database!$AC$4:$AC$1048576,$I$4,Database!$AL$4:$AL$1048576,"=1",Database!$AE$4:$AE$1048576,$I$5,Database!$AG$4:$AG$1048576,$I$6),0))))</f>
        <v>0</v>
      </c>
      <c r="I14" s="23">
        <f>IF($I$6="ALL",COUNTIFS(Database!$AC$4:$AC$1048576,$I$4,Database!$AL$4:$AL$1048576,"=2",Database!$AE$4:$AE$1048576,$I$5),IF($I$6="Apotek",COUNTIFS(Database!$AC$4:$AC$1048576,$I$4,Database!$AL$4:$AL$1048576,"=2",Database!$AE$4:$AE$1048576,$I$5,Database!$AG$4:$AG$1048576,$I$6),IF($I$6="Rumah sakit",COUNTIFS(Database!$AC$4:$AC$1048576,$I$4,Database!$AL$4:$AL$1048576,"=2",Database!$AE$4:$AE$1048576,$I$5,Database!$AG$4:$AG$1048576,$I$6),IF($I$6="Subdis",COUNTIFS(Database!$AC$4:$AC$1048576,$I$4,Database!$AL$4:$AL$1048576,"=2",Database!$AE$4:$AE$1048576,$I$5,Database!$AG$4:$AG$1048576,$I$6),0))))</f>
        <v>0</v>
      </c>
      <c r="J14" s="23">
        <f>IF($I$6="ALL",COUNTIFS(Database!$AC$4:$AC$1048576,$I$4,Database!$AL$4:$AL$1048576,"=3",Database!$AE$4:$AE$1048576,$I$5),IF($I$6="Apotek",COUNTIFS(Database!$AC$4:$AC$1048576,$I$4,Database!$AL$4:$AL$1048576,"=3",Database!$AE$4:$AE$1048576,$I$5,Database!$AG$4:$AG$1048576,$I$6),IF($I$6="Rumah sakit",COUNTIFS(Database!$AC$4:$AC$1048576,$I$4,Database!$AL$4:$AL$1048576,"=3",Database!$AE$4:$AE$1048576,$I$5,Database!$AG$4:$AG$1048576,$I$6),IF($I$6="Subdis",COUNTIFS(Database!$AC$4:$AC$1048576,$I$4,Database!$AL$4:$AL$1048576,"=3",Database!$AE$4:$AE$1048576,$I$5,Database!$AG$4:$AG$1048576,$I$6),0))))</f>
        <v>0</v>
      </c>
      <c r="K14" s="23">
        <f>IF($I$6="ALL",COUNTIFS(Database!$AC$4:$AC$1048576,$I$4,Database!$AL$4:$AL$1048576,"=4",Database!$AE$4:$AE$1048576,$I$5),IF($I$6="Apotek",COUNTIFS(Database!$AC$4:$AC$1048576,$I$4,Database!$AL$4:$AL$1048576,"=4",Database!$AE$4:$AE$1048576,$I$5,Database!$AG$4:$AG$1048576,$I$6),IF($I$6="Rumah sakit",COUNTIFS(Database!$AC$4:$AC$1048576,$I$4,Database!$AL$4:$AL$1048576,"=4",Database!$AE$4:$AE$1048576,$I$5,Database!$AG$4:$AG$1048576,$I$6),IF($I$6="Subdis",COUNTIFS(Database!$AC$4:$AC$1048576,$I$4,Database!$AL$4:$AL$1048576,"=4",Database!$AE$4:$AE$1048576,$I$5,Database!$AG$4:$AG$1048576,$I$6),0))))</f>
        <v>0</v>
      </c>
      <c r="L14" s="9">
        <f t="shared" si="1"/>
        <v>0</v>
      </c>
      <c r="M14" s="10" t="e">
        <f t="shared" si="2"/>
        <v>#DIV/0!</v>
      </c>
      <c r="N14" s="10" t="e">
        <f t="shared" si="3"/>
        <v>#DIV/0!</v>
      </c>
      <c r="O14" s="32" t="e">
        <f t="shared" si="4"/>
        <v>#DIV/0!</v>
      </c>
      <c r="P14" s="33" t="s">
        <v>2</v>
      </c>
      <c r="Q14" s="32" t="e">
        <f>RANK(O14,$O$14:$O$15)</f>
        <v>#DIV/0!</v>
      </c>
      <c r="R14" s="81" t="e">
        <f t="shared" si="6"/>
        <v>#DIV/0!</v>
      </c>
      <c r="S14" s="81" t="e">
        <f t="shared" si="7"/>
        <v>#DIV/0!</v>
      </c>
      <c r="T14" s="81" t="e">
        <f>RANK(G14,$G$14:$G$15)</f>
        <v>#DIV/0!</v>
      </c>
      <c r="U14" s="81" t="e">
        <f>RANK(M14,$M$14:$M$15)</f>
        <v>#DIV/0!</v>
      </c>
      <c r="V14" s="256" t="s">
        <v>182</v>
      </c>
    </row>
    <row r="15" spans="1:22" ht="18" x14ac:dyDescent="0.35">
      <c r="A15" s="9" t="s">
        <v>19</v>
      </c>
      <c r="B15" s="23">
        <f>IF($I$6="ALL",COUNTIFS(Database!$B$4:$B$1048576,$I$4,Database!$L$4:$L$1048576,"=1",Database!$D$4:$D$1048576,$I$5),IF($I$6="Apotek",COUNTIFS(Database!$B$4:$B$1048576,$I$4,Database!$L$4:$L$1048576,"=1",Database!$D$4:$D$1048576,$I$5,Database!$F$4:$F$1048576,$I$6),IF($I$6="Rumah sakit",COUNTIFS(Database!$B$4:$B$1048576,$I$4,Database!$L$4:$L$1048576,"=1",Database!$D$4:$D$1048576,$I$5,Database!$F$4:$F$1048576,$I$6),IF($I$6="Subdis",COUNTIFS(Database!$B$4:$B$1048576,$I$4,Database!$L$4:$L$1048576,"=1",Database!$D$4:$D$1048576,$I$5,Database!$F$4:$F$1048576,$I$6),0))))</f>
        <v>0</v>
      </c>
      <c r="C15" s="23">
        <f>IF($I$6="ALL",COUNTIFS(Database!$B$4:$B$1048576,$I$4,Database!$L$4:$L$1048576,"=2",Database!$D$4:$D$1048576,$I$5),IF($I$6="Apotek",COUNTIFS(Database!$B$4:$B$1048576,$I$4,Database!$L$4:$L$1048576,"=2",Database!$D$4:$D$1048576,$I$5,Database!$F$4:$F$1048576,$I$6),IF($I$6="Rumah sakit",COUNTIFS(Database!$B$4:$B$1048576,$I$4,Database!$L$4:$L$1048576,"=2",Database!$D$4:$D$1048576,$I$5,Database!$F$4:$F$1048576,$I$6),IF($I$6="Subdis",COUNTIFS(Database!$B$4:$B$1048576,$I$4,Database!$L$4:$L$1048576,"=2",Database!$D$4:$D$1048576,$I$5,Database!$F$4:$F$1048576,$I$6),0))))</f>
        <v>0</v>
      </c>
      <c r="D15" s="23">
        <f>IF($I$6="ALL",COUNTIFS(Database!$B$4:$B$1048576,$I$4,Database!$L$4:$L$1048576,"=3",Database!$D$4:$D$1048576,$I$5),IF($I$6="Apotek",COUNTIFS(Database!$B$4:$B$1048576,$I$4,Database!$L$4:$L$1048576,"=3",Database!$D$4:$D$1048576,$I$5,Database!$F$4:$F$1048576,$I$6),IF($I$6="Rumah sakit",COUNTIFS(Database!$B$4:$B$1048576,$I$4,Database!$L$4:$L$1048576,"=3",Database!$D$4:$D$1048576,$I$5,Database!$F$4:$F$1048576,$I$6),IF($I$6="Subdis",COUNTIFS(Database!$B$4:$B$1048576,$I$4,Database!$L$4:$L$1048576,"=3",Database!$D$4:$D$1048576,$I$5,Database!$F$4:$F$1048576,$I$6),0))))</f>
        <v>0</v>
      </c>
      <c r="E15" s="23">
        <f>IF($I$6="ALL",COUNTIFS(Database!$B$4:$B$1048576,$I$4,Database!$L$4:$L$1048576,"=4",Database!$D$4:$D$1048576,$I$5),IF($I$6="Apotek",COUNTIFS(Database!$B$4:$B$1048576,$I$4,Database!$L$4:$L$1048576,"=4",Database!$D$4:$D$1048576,$I$5,Database!$F$4:$F$1048576,$I$6),IF($I$6="Rumah sakit",COUNTIFS(Database!$B$4:$B$1048576,$I$4,Database!$L$4:$L$1048576,"=4",Database!$D$4:$D$1048576,$I$5,Database!$F$4:$F$1048576,$I$6),IF($I$6="Subdis",COUNTIFS(Database!$B$4:$B$1048576,$I$4,Database!$L$4:$L$1048576,"=4",Database!$D$4:$D$1048576,$I$5,Database!$F$4:$F$1048576,$I$6),0))))</f>
        <v>0</v>
      </c>
      <c r="F15" s="9">
        <f t="shared" si="0"/>
        <v>0</v>
      </c>
      <c r="G15" s="10" t="e">
        <f t="shared" si="10"/>
        <v>#DIV/0!</v>
      </c>
      <c r="H15" s="23">
        <f>IF($I$6="ALL",COUNTIFS(Database!$AC$4:$AC$1048576,$I$4,Database!$AM$4:$AM$1048576,"=1",Database!$AE$4:$AE$1048576,$I$5),IF($I$6="Apotek",COUNTIFS(Database!$AC$4:$AC$1048576,$I$4,Database!$AM$4:$AM$1048576,"=1",Database!$AE$4:$AE$1048576,$I$5,Database!$AG$4:$AG$1048576,$I$6),IF($I$6="Rumah sakit",COUNTIFS(Database!$AC$4:$AC$1048576,$I$4,Database!$AM$4:$AM$1048576,"=1",Database!$AE$4:$AE$1048576,$I$5,Database!$AG$4:$AG$1048576,$I$6),IF($I$6="Subdis",COUNTIFS(Database!$AC$4:$AC$1048576,$I$4,Database!$AM$4:$AM$1048576,"=1",Database!$AE$4:$AE$1048576,$I$5,Database!$AG$4:$AG$1048576,$I$6),0))))</f>
        <v>0</v>
      </c>
      <c r="I15" s="23">
        <f>IF($I$6="ALL",COUNTIFS(Database!$AC$4:$AC$1048576,$I$4,Database!$AM$4:$AM$1048576,"=2",Database!$AE$4:$AE$1048576,$I$5),IF($I$6="Apotek",COUNTIFS(Database!$AC$4:$AC$1048576,$I$4,Database!$AM$4:$AM$1048576,"=2",Database!$AE$4:$AE$1048576,$I$5,Database!$AG$4:$AG$1048576,$I$6),IF($I$6="Rumah sakit",COUNTIFS(Database!$AC$4:$AC$1048576,$I$4,Database!$AM$4:$AM$1048576,"=2",Database!$AE$4:$AE$1048576,$I$5,Database!$AG$4:$AG$1048576,$I$6),IF($I$6="Subdis",COUNTIFS(Database!$AC$4:$AC$1048576,$I$4,Database!$AM$4:$AM$1048576,"=2",Database!$AE$4:$AE$1048576,$I$5,Database!$AG$4:$AG$1048576,$I$6),0))))</f>
        <v>0</v>
      </c>
      <c r="J15" s="23">
        <f>IF($I$6="ALL",COUNTIFS(Database!$AC$4:$AC$1048576,$I$4,Database!$AM$4:$AM$1048576,"=3",Database!$AE$4:$AE$1048576,$I$5),IF($I$6="Apotek",COUNTIFS(Database!$AC$4:$AC$1048576,$I$4,Database!$AM$4:$AM$1048576,"=3",Database!$AE$4:$AE$1048576,$I$5,Database!$AG$4:$AG$1048576,$I$6),IF($I$6="Rumah sakit",COUNTIFS(Database!$AC$4:$AC$1048576,$I$4,Database!$AM$4:$AM$1048576,"=3",Database!$AE$4:$AE$1048576,$I$5,Database!$AG$4:$AG$1048576,$I$6),IF($I$6="Subdis",COUNTIFS(Database!$AC$4:$AC$1048576,$I$4,Database!$AM$4:$AM$1048576,"=3",Database!$AE$4:$AE$1048576,$I$5,Database!$AG$4:$AG$1048576,$I$6),0))))</f>
        <v>0</v>
      </c>
      <c r="K15" s="23">
        <f>IF($I$6="ALL",COUNTIFS(Database!$AC$4:$AC$1048576,$I$4,Database!$AM$4:$AM$1048576,"=4",Database!$AE$4:$AE$1048576,$I$5),IF($I$6="Apotek",COUNTIFS(Database!$AC$4:$AC$1048576,$I$4,Database!$AM$4:$AM$1048576,"=4",Database!$AE$4:$AE$1048576,$I$5,Database!$AG$4:$AG$1048576,$I$6),IF($I$6="Rumah sakit",COUNTIFS(Database!$AC$4:$AC$1048576,$I$4,Database!$AM$4:$AM$1048576,"=4",Database!$AE$4:$AE$1048576,$I$5,Database!$AG$4:$AG$1048576,$I$6),IF($I$6="Subdis",COUNTIFS(Database!$AC$4:$AC$1048576,$I$4,Database!$AM$4:$AM$1048576,"=4",Database!$AE$4:$AE$1048576,$I$5,Database!$AG$4:$AG$1048576,$I$6),0))))</f>
        <v>0</v>
      </c>
      <c r="L15" s="9">
        <f t="shared" si="1"/>
        <v>0</v>
      </c>
      <c r="M15" s="10" t="e">
        <f t="shared" si="2"/>
        <v>#DIV/0!</v>
      </c>
      <c r="N15" s="10" t="e">
        <f t="shared" si="3"/>
        <v>#DIV/0!</v>
      </c>
      <c r="O15" s="32" t="e">
        <f t="shared" si="4"/>
        <v>#DIV/0!</v>
      </c>
      <c r="P15" s="34" t="s">
        <v>54</v>
      </c>
      <c r="Q15" s="32" t="e">
        <f>RANK(O15,$O$14:$O$15)</f>
        <v>#DIV/0!</v>
      </c>
      <c r="R15" s="81" t="e">
        <f t="shared" si="6"/>
        <v>#DIV/0!</v>
      </c>
      <c r="S15" s="81" t="e">
        <f t="shared" si="7"/>
        <v>#DIV/0!</v>
      </c>
      <c r="T15" s="81" t="e">
        <f>RANK(G15,$G$14:$G$15)</f>
        <v>#DIV/0!</v>
      </c>
      <c r="U15" s="81" t="e">
        <f>RANK(M15,$M$14:$M$15)</f>
        <v>#DIV/0!</v>
      </c>
      <c r="V15" s="256"/>
    </row>
    <row r="16" spans="1:22" ht="18" x14ac:dyDescent="0.35">
      <c r="A16" s="9" t="s">
        <v>20</v>
      </c>
      <c r="B16" s="23">
        <f>IF($I$6="ALL",COUNTIFS(Database!$B$4:$B$1048576,$I$4,Database!$M$4:$M$1048576,"=1",Database!$D$4:$D$1048576,$I$5),IF($I$6="Apotek",COUNTIFS(Database!$B$4:$B$1048576,$I$4,Database!$M$4:$M$1048576,"=1",Database!$D$4:$D$1048576,$I$5,Database!$F$4:$F$1048576,$I$6),IF($I$6="Rumah sakit",COUNTIFS(Database!$B$4:$B$1048576,$I$4,Database!$M$4:$M$1048576,"=1",Database!$D$4:$D$1048576,$I$5,Database!$F$4:$F$1048576,$I$6),IF($I$6="Subdis",COUNTIFS(Database!$B$4:$B$1048576,$I$4,Database!$M$4:$M$1048576,"=1",Database!$D$4:$D$1048576,$I$5,Database!$F$4:$F$1048576,$I$6),0))))</f>
        <v>0</v>
      </c>
      <c r="C16" s="23">
        <f>IF($I$6="ALL",COUNTIFS(Database!$B$4:$B$1048576,$I$4,Database!$M$4:$M$1048576,"=2",Database!$D$4:$D$1048576,$I$5),IF($I$6="Apotek",COUNTIFS(Database!$B$4:$B$1048576,$I$4,Database!$M$4:$M$1048576,"=2",Database!$D$4:$D$1048576,$I$5,Database!$F$4:$F$1048576,$I$6),IF($I$6="Rumah sakit",COUNTIFS(Database!$B$4:$B$1048576,$I$4,Database!$M$4:$M$1048576,"=2",Database!$D$4:$D$1048576,$I$5,Database!$F$4:$F$1048576,$I$6),IF($I$6="Subdis",COUNTIFS(Database!$B$4:$B$1048576,$I$4,Database!$M$4:$M$1048576,"=2",Database!$D$4:$D$1048576,$I$5,Database!$F$4:$F$1048576,$I$6),0))))</f>
        <v>0</v>
      </c>
      <c r="D16" s="23">
        <f>IF($I$6="ALL",COUNTIFS(Database!$B$4:$B$1048576,$I$4,Database!$M$4:$M$1048576,"=3",Database!$D$4:$D$1048576,$I$5),IF($I$6="Apotek",COUNTIFS(Database!$B$4:$B$1048576,$I$4,Database!$M$4:$M$1048576,"=3",Database!$D$4:$D$1048576,$I$5,Database!$F$4:$F$1048576,$I$6),IF($I$6="Rumah sakit",COUNTIFS(Database!$B$4:$B$1048576,$I$4,Database!$M$4:$M$1048576,"=3",Database!$D$4:$D$1048576,$I$5,Database!$F$4:$F$1048576,$I$6),IF($I$6="Subdis",COUNTIFS(Database!$B$4:$B$1048576,$I$4,Database!$M$4:$M$1048576,"=3",Database!$D$4:$D$1048576,$I$5,Database!$F$4:$F$1048576,$I$6),0))))</f>
        <v>0</v>
      </c>
      <c r="E16" s="23">
        <f>IF($I$6="ALL",COUNTIFS(Database!$B$4:$B$1048576,$I$4,Database!$M$4:$M$1048576,"=4",Database!$D$4:$D$1048576,$I$5),IF($I$6="Apotek",COUNTIFS(Database!$B$4:$B$1048576,$I$4,Database!$M$4:$M$1048576,"=4",Database!$D$4:$D$1048576,$I$5,Database!$F$4:$F$1048576,$I$6),IF($I$6="Rumah sakit",COUNTIFS(Database!$B$4:$B$1048576,$I$4,Database!$M$4:$M$1048576,"=4",Database!$D$4:$D$1048576,$I$5,Database!$F$4:$F$1048576,$I$6),IF($I$6="Subdis",COUNTIFS(Database!$B$4:$B$1048576,$I$4,Database!$M$4:$M$1048576,"=4",Database!$D$4:$D$1048576,$I$5,Database!$F$4:$F$1048576,$I$6),0))))</f>
        <v>0</v>
      </c>
      <c r="F16" s="9">
        <f t="shared" si="0"/>
        <v>0</v>
      </c>
      <c r="G16" s="10" t="e">
        <f t="shared" si="10"/>
        <v>#DIV/0!</v>
      </c>
      <c r="H16" s="23">
        <f>IF($I$6="ALL",COUNTIFS(Database!$AC$4:$AC$1048576,$I$4,Database!$AN$4:$AN$1048576,"=1",Database!$AE$4:$AE$1048576,$I$5),IF($I$6="Apotek",COUNTIFS(Database!$AC$4:$AC$1048576,$I$4,Database!$AN$4:$AN$1048576,"=1",Database!$AE$4:$AE$1048576,$I$5,Database!$AG$4:$AG$1048576,$I$6),IF($I$6="Rumah sakit",COUNTIFS(Database!$AC$4:$AC$1048576,$I$4,Database!$AN$4:$AN$1048576,"=1",Database!$AE$4:$AE$1048576,$I$5,Database!$AG$4:$AG$1048576,$I$6),IF($I$6="Subdis",COUNTIFS(Database!$AC$4:$AC$1048576,$I$4,Database!$AN$4:$AN$1048576,"=1",Database!$AE$4:$AE$1048576,$I$5,Database!$AG$4:$AG$1048576,$I$6),0))))</f>
        <v>0</v>
      </c>
      <c r="I16" s="23">
        <f>IF($I$6="ALL",COUNTIFS(Database!$AC$4:$AC$1048576,$I$4,Database!$AN$4:$AN$1048576,"=2",Database!$AE$4:$AE$1048576,$I$5),IF($I$6="Apotek",COUNTIFS(Database!$AC$4:$AC$1048576,$I$4,Database!$AN$4:$AN$1048576,"=2",Database!$AE$4:$AE$1048576,$I$5,Database!$AG$4:$AG$1048576,$I$6),IF($I$6="Rumah sakit",COUNTIFS(Database!$AC$4:$AC$1048576,$I$4,Database!$AN$4:$AN$1048576,"=2",Database!$AE$4:$AE$1048576,$I$5,Database!$AG$4:$AG$1048576,$I$6),IF($I$6="Subdis",COUNTIFS(Database!$AC$4:$AC$1048576,$I$4,Database!$AN$4:$AN$1048576,"=2",Database!$AE$4:$AE$1048576,$I$5,Database!$AG$4:$AG$1048576,$I$6),0))))</f>
        <v>0</v>
      </c>
      <c r="J16" s="23">
        <f>IF($I$6="ALL",COUNTIFS(Database!$AC$4:$AC$1048576,$I$4,Database!$AN$4:$AN$1048576,"=3",Database!$AE$4:$AE$1048576,$I$5),IF($I$6="Apotek",COUNTIFS(Database!$AC$4:$AC$1048576,$I$4,Database!$AN$4:$AN$1048576,"=3",Database!$AE$4:$AE$1048576,$I$5,Database!$AG$4:$AG$1048576,$I$6),IF($I$6="Rumah sakit",COUNTIFS(Database!$AC$4:$AC$1048576,$I$4,Database!$AN$4:$AN$1048576,"=3",Database!$AE$4:$AE$1048576,$I$5,Database!$AG$4:$AG$1048576,$I$6),IF($I$6="Subdis",COUNTIFS(Database!$AC$4:$AC$1048576,$I$4,Database!$AN$4:$AN$1048576,"=3",Database!$AE$4:$AE$1048576,$I$5,Database!$AG$4:$AG$1048576,$I$6),0))))</f>
        <v>0</v>
      </c>
      <c r="K16" s="23">
        <f>IF($I$6="ALL",COUNTIFS(Database!$AC$4:$AC$1048576,$I$4,Database!$AN$4:$AN$1048576,"=4",Database!$AE$4:$AE$1048576,$I$5),IF($I$6="Apotek",COUNTIFS(Database!$AC$4:$AC$1048576,$I$4,Database!$AN$4:$AN$1048576,"=4",Database!$AE$4:$AE$1048576,$I$5,Database!$AG$4:$AG$1048576,$I$6),IF($I$6="Rumah sakit",COUNTIFS(Database!$AC$4:$AC$1048576,$I$4,Database!$AN$4:$AN$1048576,"=4",Database!$AE$4:$AE$1048576,$I$5,Database!$AG$4:$AG$1048576,$I$6),IF($I$6="Subdis",COUNTIFS(Database!$AC$4:$AC$1048576,$I$4,Database!$AN$4:$AN$1048576,"=4",Database!$AE$4:$AE$1048576,$I$5,Database!$AG$4:$AG$1048576,$I$6),0))))</f>
        <v>0</v>
      </c>
      <c r="L16" s="9">
        <f t="shared" si="1"/>
        <v>0</v>
      </c>
      <c r="M16" s="10" t="e">
        <f t="shared" si="2"/>
        <v>#DIV/0!</v>
      </c>
      <c r="N16" s="10" t="e">
        <f t="shared" si="3"/>
        <v>#DIV/0!</v>
      </c>
      <c r="O16" s="32" t="e">
        <f t="shared" si="4"/>
        <v>#DIV/0!</v>
      </c>
      <c r="P16" s="12" t="s">
        <v>3</v>
      </c>
      <c r="Q16" s="32" t="e">
        <f>RANK(O16,$O$16:$O$20)</f>
        <v>#DIV/0!</v>
      </c>
      <c r="R16" s="81" t="e">
        <f t="shared" si="6"/>
        <v>#DIV/0!</v>
      </c>
      <c r="S16" s="81" t="e">
        <f t="shared" si="7"/>
        <v>#DIV/0!</v>
      </c>
      <c r="T16" s="81" t="e">
        <f>RANK(G16,$G$16:$G$20)</f>
        <v>#DIV/0!</v>
      </c>
      <c r="U16" s="81" t="e">
        <f>RANK(M16,$M$16:$M$20)</f>
        <v>#DIV/0!</v>
      </c>
      <c r="V16" s="255" t="s">
        <v>183</v>
      </c>
    </row>
    <row r="17" spans="1:22" ht="18" x14ac:dyDescent="0.35">
      <c r="A17" s="9" t="s">
        <v>21</v>
      </c>
      <c r="B17" s="23">
        <f>IF($I$6="ALL",COUNTIFS(Database!$B$4:$B$1048576,$I$4,Database!$N$4:$N$1048576,"=1",Database!$D$4:$D$1048576,$I$5),IF($I$6="Apotek",COUNTIFS(Database!$B$4:$B$1048576,$I$4,Database!$N$4:$N$1048576,"=1",Database!$D$4:$D$1048576,$I$5,Database!$F$4:$F$1048576,$I$6),IF($I$6="Rumah sakit",COUNTIFS(Database!$B$4:$B$1048576,$I$4,Database!$N$4:$N$1048576,"=1",Database!$D$4:$D$1048576,$I$5,Database!$F$4:$F$1048576,$I$6),IF($I$6="Subdis",COUNTIFS(Database!$B$4:$B$1048576,$I$4,Database!$N$4:$N$1048576,"=1",Database!$D$4:$D$1048576,$I$5,Database!$F$4:$F$1048576,$I$6),0))))</f>
        <v>0</v>
      </c>
      <c r="C17" s="23">
        <f>IF($I$6="ALL",COUNTIFS(Database!$B$4:$B$1048576,$I$4,Database!$N$4:$N$1048576,"=2",Database!$D$4:$D$1048576,$I$5),IF($I$6="Apotek",COUNTIFS(Database!$B$4:$B$1048576,$I$4,Database!$N$4:$N$1048576,"=2",Database!$D$4:$D$1048576,$I$5,Database!$F$4:$F$1048576,$I$6),IF($I$6="Rumah sakit",COUNTIFS(Database!$B$4:$B$1048576,$I$4,Database!$N$4:$N$1048576,"=2",Database!$D$4:$D$1048576,$I$5,Database!$F$4:$F$1048576,$I$6),IF($I$6="Subdis",COUNTIFS(Database!$B$4:$B$1048576,$I$4,Database!$N$4:$N$1048576,"=2",Database!$D$4:$D$1048576,$I$5,Database!$F$4:$F$1048576,$I$6),0))))</f>
        <v>0</v>
      </c>
      <c r="D17" s="23">
        <f>IF($I$6="ALL",COUNTIFS(Database!$B$4:$B$1048576,$I$4,Database!$N$4:$N$1048576,"=3",Database!$D$4:$D$1048576,$I$5),IF($I$6="Apotek",COUNTIFS(Database!$B$4:$B$1048576,$I$4,Database!$N$4:$N$1048576,"=3",Database!$D$4:$D$1048576,$I$5,Database!$F$4:$F$1048576,$I$6),IF($I$6="Rumah sakit",COUNTIFS(Database!$B$4:$B$1048576,$I$4,Database!$N$4:$N$1048576,"=3",Database!$D$4:$D$1048576,$I$5,Database!$F$4:$F$1048576,$I$6),IF($I$6="Subdis",COUNTIFS(Database!$B$4:$B$1048576,$I$4,Database!$N$4:$N$1048576,"=3",Database!$D$4:$D$1048576,$I$5,Database!$F$4:$F$1048576,$I$6),0))))</f>
        <v>0</v>
      </c>
      <c r="E17" s="23">
        <f>IF($I$6="ALL",COUNTIFS(Database!$B$4:$B$1048576,$I$4,Database!$N$4:$N$1048576,"=4",Database!$D$4:$D$1048576,$I$5),IF($I$6="Apotek",COUNTIFS(Database!$B$4:$B$1048576,$I$4,Database!$N$4:$N$1048576,"=4",Database!$D$4:$D$1048576,$I$5,Database!$F$4:$F$1048576,$I$6),IF($I$6="Rumah sakit",COUNTIFS(Database!$B$4:$B$1048576,$I$4,Database!$N$4:$N$1048576,"=4",Database!$D$4:$D$1048576,$I$5,Database!$F$4:$F$1048576,$I$6),IF($I$6="Subdis",COUNTIFS(Database!$B$4:$B$1048576,$I$4,Database!$N$4:$N$1048576,"=4",Database!$D$4:$D$1048576,$I$5,Database!$F$4:$F$1048576,$I$6),0))))</f>
        <v>0</v>
      </c>
      <c r="F17" s="9">
        <f t="shared" si="0"/>
        <v>0</v>
      </c>
      <c r="G17" s="10" t="e">
        <f t="shared" si="10"/>
        <v>#DIV/0!</v>
      </c>
      <c r="H17" s="23">
        <f>IF($I$6="ALL",COUNTIFS(Database!$AC$4:$AC$1048576,$I$4,Database!$AO$4:$AO$1048576,"=1",Database!$AE$4:$AE$1048576,$I$5),IF($I$6="Apotek",COUNTIFS(Database!$AC$4:$AC$1048576,$I$4,Database!$AO$4:$AO$1048576,"=1",Database!$AE$4:$AE$1048576,$I$5,Database!$AG$4:$AG$1048576,$I$6),IF($I$6="Rumah sakit",COUNTIFS(Database!$AC$4:$AC$1048576,$I$4,Database!$AO$4:$AO$1048576,"=1",Database!$AE$4:$AE$1048576,$I$5,Database!$AG$4:$AG$1048576,$I$6),IF($I$6="Subdis",COUNTIFS(Database!$AC$4:$AC$1048576,$I$4,Database!$AO$4:$AO$1048576,"=1",Database!$AE$4:$AE$1048576,$I$5,Database!$AG$4:$AG$1048576,$I$6),0))))</f>
        <v>0</v>
      </c>
      <c r="I17" s="23">
        <f>IF($I$6="ALL",COUNTIFS(Database!$AC$4:$AC$1048576,$I$4,Database!$AO$4:$AO$1048576,"=2",Database!$AE$4:$AE$1048576,$I$5),IF($I$6="Apotek",COUNTIFS(Database!$AC$4:$AC$1048576,$I$4,Database!$AO$4:$AO$1048576,"=2",Database!$AE$4:$AE$1048576,$I$5,Database!$AG$4:$AG$1048576,$I$6),IF($I$6="Rumah sakit",COUNTIFS(Database!$AC$4:$AC$1048576,$I$4,Database!$AO$4:$AO$1048576,"=2",Database!$AE$4:$AE$1048576,$I$5,Database!$AG$4:$AG$1048576,$I$6),IF($I$6="Subdis",COUNTIFS(Database!$AC$4:$AC$1048576,$I$4,Database!$AO$4:$AO$1048576,"=2",Database!$AE$4:$AE$1048576,$I$5,Database!$AG$4:$AG$1048576,$I$6),0))))</f>
        <v>0</v>
      </c>
      <c r="J17" s="23">
        <f>IF($I$6="ALL",COUNTIFS(Database!$AC$4:$AC$1048576,$I$4,Database!$AO$4:$AO$1048576,"=3",Database!$AE$4:$AE$1048576,$I$5),IF($I$6="Apotek",COUNTIFS(Database!$AC$4:$AC$1048576,$I$4,Database!$AO$4:$AO$1048576,"=3",Database!$AE$4:$AE$1048576,$I$5,Database!$AG$4:$AG$1048576,$I$6),IF($I$6="Rumah sakit",COUNTIFS(Database!$AC$4:$AC$1048576,$I$4,Database!$AO$4:$AO$1048576,"=3",Database!$AE$4:$AE$1048576,$I$5,Database!$AG$4:$AG$1048576,$I$6),IF($I$6="Subdis",COUNTIFS(Database!$AC$4:$AC$1048576,$I$4,Database!$AO$4:$AO$1048576,"=3",Database!$AE$4:$AE$1048576,$I$5,Database!$AG$4:$AG$1048576,$I$6),0))))</f>
        <v>0</v>
      </c>
      <c r="K17" s="23">
        <f>IF($I$6="ALL",COUNTIFS(Database!$AC$4:$AC$1048576,$I$4,Database!$AO$4:$AO$1048576,"=4",Database!$AE$4:$AE$1048576,$I$5),IF($I$6="Apotek",COUNTIFS(Database!$AC$4:$AC$1048576,$I$4,Database!$AO$4:$AO$1048576,"=4",Database!$AE$4:$AE$1048576,$I$5,Database!$AG$4:$AG$1048576,$I$6),IF($I$6="Rumah sakit",COUNTIFS(Database!$AC$4:$AC$1048576,$I$4,Database!$AO$4:$AO$1048576,"=4",Database!$AE$4:$AE$1048576,$I$5,Database!$AG$4:$AG$1048576,$I$6),IF($I$6="Subdis",COUNTIFS(Database!$AC$4:$AC$1048576,$I$4,Database!$AO$4:$AO$1048576,"=4",Database!$AE$4:$AE$1048576,$I$5,Database!$AG$4:$AG$1048576,$I$6),0))))</f>
        <v>0</v>
      </c>
      <c r="L17" s="9">
        <f t="shared" si="1"/>
        <v>0</v>
      </c>
      <c r="M17" s="10" t="e">
        <f t="shared" si="2"/>
        <v>#DIV/0!</v>
      </c>
      <c r="N17" s="10" t="e">
        <f t="shared" si="3"/>
        <v>#DIV/0!</v>
      </c>
      <c r="O17" s="32" t="e">
        <f t="shared" si="4"/>
        <v>#DIV/0!</v>
      </c>
      <c r="P17" s="12" t="s">
        <v>4</v>
      </c>
      <c r="Q17" s="32" t="e">
        <f t="shared" ref="Q17:Q20" si="11">RANK(O17,$O$16:$O$20)</f>
        <v>#DIV/0!</v>
      </c>
      <c r="R17" s="81" t="e">
        <f t="shared" si="6"/>
        <v>#DIV/0!</v>
      </c>
      <c r="S17" s="81" t="e">
        <f t="shared" si="7"/>
        <v>#DIV/0!</v>
      </c>
      <c r="T17" s="81" t="e">
        <f t="shared" ref="T17:T20" si="12">RANK(G17,$G$16:$G$20)</f>
        <v>#DIV/0!</v>
      </c>
      <c r="U17" s="81" t="e">
        <f t="shared" ref="U17:U20" si="13">RANK(M17,$M$16:$M$20)</f>
        <v>#DIV/0!</v>
      </c>
      <c r="V17" s="255"/>
    </row>
    <row r="18" spans="1:22" ht="18" x14ac:dyDescent="0.35">
      <c r="A18" s="9" t="s">
        <v>22</v>
      </c>
      <c r="B18" s="23">
        <f>IF($I$6="ALL",COUNTIFS(Database!$B$4:$B$1048576,$I$4,Database!$O$4:$O$1048576,"=1",Database!$D$4:$D$1048576,$I$5),IF($I$6="Apotek",COUNTIFS(Database!$B$4:$B$1048576,$I$4,Database!$O$4:$O$1048576,"=1",Database!$D$4:$D$1048576,$I$5,Database!$F$4:$F$1048576,$I$6),IF($I$6="Rumah sakit",COUNTIFS(Database!$B$4:$B$1048576,$I$4,Database!$O$4:$O$1048576,"=1",Database!$D$4:$D$1048576,$I$5,Database!$F$4:$F$1048576,$I$6),IF($I$6="Subdis",COUNTIFS(Database!$B$4:$B$1048576,$I$4,Database!$O$4:$O$1048576,"=1",Database!$D$4:$D$1048576,$I$5,Database!$F$4:$F$1048576,$I$6),0))))</f>
        <v>0</v>
      </c>
      <c r="C18" s="23">
        <f>IF($I$6="ALL",COUNTIFS(Database!$B$4:$B$1048576,$I$4,Database!$O$4:$O$1048576,"=2",Database!$D$4:$D$1048576,$I$5),IF($I$6="Apotek",COUNTIFS(Database!$B$4:$B$1048576,$I$4,Database!$O$4:$O$1048576,"=2",Database!$D$4:$D$1048576,$I$5,Database!$F$4:$F$1048576,$I$6),IF($I$6="Rumah sakit",COUNTIFS(Database!$B$4:$B$1048576,$I$4,Database!$O$4:$O$1048576,"=2",Database!$D$4:$D$1048576,$I$5,Database!$F$4:$F$1048576,$I$6),IF($I$6="Subdis",COUNTIFS(Database!$B$4:$B$1048576,$I$4,Database!$O$4:$O$1048576,"=2",Database!$D$4:$D$1048576,$I$5,Database!$F$4:$F$1048576,$I$6),0))))</f>
        <v>0</v>
      </c>
      <c r="D18" s="23">
        <f>IF($I$6="ALL",COUNTIFS(Database!$B$4:$B$1048576,$I$4,Database!$O$4:$O$1048576,"=3",Database!$D$4:$D$1048576,$I$5),IF($I$6="Apotek",COUNTIFS(Database!$B$4:$B$1048576,$I$4,Database!$O$4:$O$1048576,"=3",Database!$D$4:$D$1048576,$I$5,Database!$F$4:$F$1048576,$I$6),IF($I$6="Rumah sakit",COUNTIFS(Database!$B$4:$B$1048576,$I$4,Database!$O$4:$O$1048576,"=3",Database!$D$4:$D$1048576,$I$5,Database!$F$4:$F$1048576,$I$6),IF($I$6="Subdis",COUNTIFS(Database!$B$4:$B$1048576,$I$4,Database!$O$4:$O$1048576,"=3",Database!$D$4:$D$1048576,$I$5,Database!$F$4:$F$1048576,$I$6),0))))</f>
        <v>0</v>
      </c>
      <c r="E18" s="23">
        <f>IF($I$6="ALL",COUNTIFS(Database!$B$4:$B$1048576,$I$4,Database!$O$4:$O$1048576,"=4",Database!$D$4:$D$1048576,$I$5),IF($I$6="Apotek",COUNTIFS(Database!$B$4:$B$1048576,$I$4,Database!$O$4:$O$1048576,"=4",Database!$D$4:$D$1048576,$I$5,Database!$F$4:$F$1048576,$I$6),IF($I$6="Rumah sakit",COUNTIFS(Database!$B$4:$B$1048576,$I$4,Database!$O$4:$O$1048576,"=4",Database!$D$4:$D$1048576,$I$5,Database!$F$4:$F$1048576,$I$6),IF($I$6="Subdis",COUNTIFS(Database!$B$4:$B$1048576,$I$4,Database!$O$4:$O$1048576,"=4",Database!$D$4:$D$1048576,$I$5,Database!$F$4:$F$1048576,$I$6),0))))</f>
        <v>0</v>
      </c>
      <c r="F18" s="9">
        <f t="shared" si="0"/>
        <v>0</v>
      </c>
      <c r="G18" s="10" t="e">
        <f t="shared" si="10"/>
        <v>#DIV/0!</v>
      </c>
      <c r="H18" s="23">
        <f>IF($I$6="ALL",COUNTIFS(Database!$AC$4:$AC$1048576,$I$4,Database!$AP$4:$AP$1048576,"=1",Database!$AE$4:$AE$1048576,$I$5),IF($I$6="Apotek",COUNTIFS(Database!$AC$4:$AC$1048576,$I$4,Database!$AP$4:$AP$1048576,"=1",Database!$AE$4:$AE$1048576,$I$5,Database!$AG$4:$AG$1048576,$I$6),IF($I$6="Rumah sakit",COUNTIFS(Database!$AC$4:$AC$1048576,$I$4,Database!$AP$4:$AP$1048576,"=1",Database!$AE$4:$AE$1048576,$I$5,Database!$AG$4:$AG$1048576,$I$6),IF($I$6="Subdis",COUNTIFS(Database!$AC$4:$AC$1048576,$I$4,Database!$AP$4:$AP$1048576,"=1",Database!$AE$4:$AE$1048576,$I$5,Database!$AG$4:$AG$1048576,$I$6),0))))</f>
        <v>0</v>
      </c>
      <c r="I18" s="23">
        <f>IF($I$6="ALL",COUNTIFS(Database!$AC$4:$AC$1048576,$I$4,Database!$AP$4:$AP$1048576,"=2",Database!$AE$4:$AE$1048576,$I$5),IF($I$6="Apotek",COUNTIFS(Database!$AC$4:$AC$1048576,$I$4,Database!$AP$4:$AP$1048576,"=2",Database!$AE$4:$AE$1048576,$I$5,Database!$AG$4:$AG$1048576,$I$6),IF($I$6="Rumah sakit",COUNTIFS(Database!$AC$4:$AC$1048576,$I$4,Database!$AP$4:$AP$1048576,"=2",Database!$AE$4:$AE$1048576,$I$5,Database!$AG$4:$AG$1048576,$I$6),IF($I$6="Subdis",COUNTIFS(Database!$AC$4:$AC$1048576,$I$4,Database!$AP$4:$AP$1048576,"=2",Database!$AE$4:$AE$1048576,$I$5,Database!$AG$4:$AG$1048576,$I$6),0))))</f>
        <v>0</v>
      </c>
      <c r="J18" s="23">
        <f>IF($I$6="ALL",COUNTIFS(Database!$AC$4:$AC$1048576,$I$4,Database!$AP$4:$AP$1048576,"=3",Database!$AE$4:$AE$1048576,$I$5),IF($I$6="Apotek",COUNTIFS(Database!$AC$4:$AC$1048576,$I$4,Database!$AP$4:$AP$1048576,"=3",Database!$AE$4:$AE$1048576,$I$5,Database!$AG$4:$AG$1048576,$I$6),IF($I$6="Rumah sakit",COUNTIFS(Database!$AC$4:$AC$1048576,$I$4,Database!$AP$4:$AP$1048576,"=3",Database!$AE$4:$AE$1048576,$I$5,Database!$AG$4:$AG$1048576,$I$6),IF($I$6="Subdis",COUNTIFS(Database!$AC$4:$AC$1048576,$I$4,Database!$AP$4:$AP$1048576,"=3",Database!$AE$4:$AE$1048576,$I$5,Database!$AG$4:$AG$1048576,$I$6),0))))</f>
        <v>0</v>
      </c>
      <c r="K18" s="23">
        <f>IF($I$6="ALL",COUNTIFS(Database!$AC$4:$AC$1048576,$I$4,Database!$AP$4:$AP$1048576,"=4",Database!$AE$4:$AE$1048576,$I$5),IF($I$6="Apotek",COUNTIFS(Database!$AC$4:$AC$1048576,$I$4,Database!$AP$4:$AP$1048576,"=4",Database!$AE$4:$AE$1048576,$I$5,Database!$AG$4:$AG$1048576,$I$6),IF($I$6="Rumah sakit",COUNTIFS(Database!$AC$4:$AC$1048576,$I$4,Database!$AP$4:$AP$1048576,"=4",Database!$AE$4:$AE$1048576,$I$5,Database!$AG$4:$AG$1048576,$I$6),IF($I$6="Subdis",COUNTIFS(Database!$AC$4:$AC$1048576,$I$4,Database!$AP$4:$AP$1048576,"=4",Database!$AE$4:$AE$1048576,$I$5,Database!$AG$4:$AG$1048576,$I$6),0))))</f>
        <v>0</v>
      </c>
      <c r="L18" s="9">
        <f t="shared" si="1"/>
        <v>0</v>
      </c>
      <c r="M18" s="10" t="e">
        <f t="shared" si="2"/>
        <v>#DIV/0!</v>
      </c>
      <c r="N18" s="10" t="e">
        <f t="shared" si="3"/>
        <v>#DIV/0!</v>
      </c>
      <c r="O18" s="32" t="e">
        <f t="shared" si="4"/>
        <v>#DIV/0!</v>
      </c>
      <c r="P18" s="11" t="s">
        <v>5</v>
      </c>
      <c r="Q18" s="32" t="e">
        <f t="shared" si="11"/>
        <v>#DIV/0!</v>
      </c>
      <c r="R18" s="81" t="e">
        <f t="shared" si="6"/>
        <v>#DIV/0!</v>
      </c>
      <c r="S18" s="81" t="e">
        <f t="shared" si="7"/>
        <v>#DIV/0!</v>
      </c>
      <c r="T18" s="81" t="e">
        <f t="shared" si="12"/>
        <v>#DIV/0!</v>
      </c>
      <c r="U18" s="81" t="e">
        <f t="shared" si="13"/>
        <v>#DIV/0!</v>
      </c>
      <c r="V18" s="255"/>
    </row>
    <row r="19" spans="1:22" ht="18" x14ac:dyDescent="0.35">
      <c r="A19" s="9" t="s">
        <v>23</v>
      </c>
      <c r="B19" s="23">
        <f>IF($I$6="ALL",COUNTIFS(Database!$B$4:$B$1048576,$I$4,Database!$P$4:$P$1048576,"=1",Database!$D$4:$D$1048576,$I$5),IF($I$6="Apotek",COUNTIFS(Database!$B$4:$B$1048576,$I$4,Database!$P$4:$P$1048576,"=1",Database!$D$4:$D$1048576,$I$5,Database!$F$4:$F$1048576,$I$6),IF($I$6="Rumah sakit",COUNTIFS(Database!$B$4:$B$1048576,$I$4,Database!$P$4:$P$1048576,"=1",Database!$D$4:$D$1048576,$I$5,Database!$F$4:$F$1048576,$I$6),IF($I$6="Subdis",COUNTIFS(Database!$B$4:$B$1048576,$I$4,Database!$P$4:$P$1048576,"=1",Database!$D$4:$D$1048576,$I$5,Database!$F$4:$F$1048576,$I$6),0))))</f>
        <v>0</v>
      </c>
      <c r="C19" s="23">
        <f>IF($I$6="ALL",COUNTIFS(Database!$B$4:$B$1048576,$I$4,Database!$P$4:$P$1048576,"=2",Database!$D$4:$D$1048576,$I$5),IF($I$6="Apotek",COUNTIFS(Database!$B$4:$B$1048576,$I$4,Database!$P$4:$P$1048576,"=2",Database!$D$4:$D$1048576,$I$5,Database!$F$4:$F$1048576,$I$6),IF($I$6="Rumah sakit",COUNTIFS(Database!$B$4:$B$1048576,$I$4,Database!$P$4:$P$1048576,"=2",Database!$D$4:$D$1048576,$I$5,Database!$F$4:$F$1048576,$I$6),IF($I$6="Subdis",COUNTIFS(Database!$B$4:$B$1048576,$I$4,Database!$P$4:$P$1048576,"=2",Database!$D$4:$D$1048576,$I$5,Database!$F$4:$F$1048576,$I$6),0))))</f>
        <v>0</v>
      </c>
      <c r="D19" s="23">
        <f>IF($I$6="ALL",COUNTIFS(Database!$B$4:$B$1048576,$I$4,Database!$P$4:$P$1048576,"=3",Database!$D$4:$D$1048576,$I$5),IF($I$6="Apotek",COUNTIFS(Database!$B$4:$B$1048576,$I$4,Database!$P$4:$P$1048576,"=3",Database!$D$4:$D$1048576,$I$5,Database!$F$4:$F$1048576,$I$6),IF($I$6="Rumah sakit",COUNTIFS(Database!$B$4:$B$1048576,$I$4,Database!$P$4:$P$1048576,"=3",Database!$D$4:$D$1048576,$I$5,Database!$F$4:$F$1048576,$I$6),IF($I$6="Subdis",COUNTIFS(Database!$B$4:$B$1048576,$I$4,Database!$P$4:$P$1048576,"=3",Database!$D$4:$D$1048576,$I$5,Database!$F$4:$F$1048576,$I$6),0))))</f>
        <v>0</v>
      </c>
      <c r="E19" s="23">
        <f>IF($I$6="ALL",COUNTIFS(Database!$B$4:$B$1048576,$I$4,Database!$P$4:$P$1048576,"=4",Database!$D$4:$D$1048576,$I$5),IF($I$6="Apotek",COUNTIFS(Database!$B$4:$B$1048576,$I$4,Database!$P$4:$P$1048576,"=4",Database!$D$4:$D$1048576,$I$5,Database!$F$4:$F$1048576,$I$6),IF($I$6="Rumah sakit",COUNTIFS(Database!$B$4:$B$1048576,$I$4,Database!$P$4:$P$1048576,"=4",Database!$D$4:$D$1048576,$I$5,Database!$F$4:$F$1048576,$I$6),IF($I$6="Subdis",COUNTIFS(Database!$B$4:$B$1048576,$I$4,Database!$P$4:$P$1048576,"=4",Database!$D$4:$D$1048576,$I$5,Database!$F$4:$F$1048576,$I$6),0))))</f>
        <v>0</v>
      </c>
      <c r="F19" s="9">
        <f t="shared" si="0"/>
        <v>0</v>
      </c>
      <c r="G19" s="10" t="e">
        <f t="shared" si="10"/>
        <v>#DIV/0!</v>
      </c>
      <c r="H19" s="23">
        <f>IF($I$6="ALL",COUNTIFS(Database!$AC$4:$AC$1048576,$I$4,Database!$AQ$4:$AQ$1048576,"=1",Database!$AE$4:$AE$1048576,$I$5),IF($I$6="Apotek",COUNTIFS(Database!$AC$4:$AC$1048576,$I$4,Database!$AQ$4:$AQ$1048576,"=1",Database!$AE$4:$AE$1048576,$I$5,Database!$AG$4:$AG$1048576,$I$6),IF($I$6="Rumah sakit",COUNTIFS(Database!$AC$4:$AC$1048576,$I$4,Database!$AQ$4:$AQ$1048576,"=1",Database!$AE$4:$AE$1048576,$I$5,Database!$AG$4:$AG$1048576,$I$6),IF($I$6="Subdis",COUNTIFS(Database!$AC$4:$AC$1048576,$I$4,Database!$AQ$4:$AQ$1048576,"=1",Database!$AE$4:$AE$1048576,$I$5,Database!$AG$4:$AG$1048576,$I$6),0))))</f>
        <v>0</v>
      </c>
      <c r="I19" s="23">
        <f>IF($I$6="ALL",COUNTIFS(Database!$AC$4:$AC$1048576,$I$4,Database!$AQ$4:$AQ$1048576,"=2",Database!$AE$4:$AE$1048576,$I$5),IF($I$6="Apotek",COUNTIFS(Database!$AC$4:$AC$1048576,$I$4,Database!$AQ$4:$AQ$1048576,"=2",Database!$AE$4:$AE$1048576,$I$5,Database!$AG$4:$AG$1048576,$I$6),IF($I$6="Rumah sakit",COUNTIFS(Database!$AC$4:$AC$1048576,$I$4,Database!$AQ$4:$AQ$1048576,"=2",Database!$AE$4:$AE$1048576,$I$5,Database!$AG$4:$AG$1048576,$I$6),IF($I$6="Subdis",COUNTIFS(Database!$AC$4:$AC$1048576,$I$4,Database!$AQ$4:$AQ$1048576,"=2",Database!$AE$4:$AE$1048576,$I$5,Database!$AG$4:$AG$1048576,$I$6),0))))</f>
        <v>0</v>
      </c>
      <c r="J19" s="23">
        <f>IF($I$6="ALL",COUNTIFS(Database!$AC$4:$AC$1048576,$I$4,Database!$AQ$4:$AQ$1048576,"=3",Database!$AE$4:$AE$1048576,$I$5),IF($I$6="Apotek",COUNTIFS(Database!$AC$4:$AC$1048576,$I$4,Database!$AQ$4:$AQ$1048576,"=3",Database!$AE$4:$AE$1048576,$I$5,Database!$AG$4:$AG$1048576,$I$6),IF($I$6="Rumah sakit",COUNTIFS(Database!$AC$4:$AC$1048576,$I$4,Database!$AQ$4:$AQ$1048576,"=3",Database!$AE$4:$AE$1048576,$I$5,Database!$AG$4:$AG$1048576,$I$6),IF($I$6="Subdis",COUNTIFS(Database!$AC$4:$AC$1048576,$I$4,Database!$AQ$4:$AQ$1048576,"=3",Database!$AE$4:$AE$1048576,$I$5,Database!$AG$4:$AG$1048576,$I$6),0))))</f>
        <v>0</v>
      </c>
      <c r="K19" s="23">
        <f>IF($I$6="ALL",COUNTIFS(Database!$AC$4:$AC$1048576,$I$4,Database!$AQ$4:$AQ$1048576,"=4",Database!$AE$4:$AE$1048576,$I$5),IF($I$6="Apotek",COUNTIFS(Database!$AC$4:$AC$1048576,$I$4,Database!$AQ$4:$AQ$1048576,"=4",Database!$AE$4:$AE$1048576,$I$5,Database!$AG$4:$AG$1048576,$I$6),IF($I$6="Rumah sakit",COUNTIFS(Database!$AC$4:$AC$1048576,$I$4,Database!$AQ$4:$AQ$1048576,"=4",Database!$AE$4:$AE$1048576,$I$5,Database!$AG$4:$AG$1048576,$I$6),IF($I$6="Subdis",COUNTIFS(Database!$AC$4:$AC$1048576,$I$4,Database!$AQ$4:$AQ$1048576,"=4",Database!$AE$4:$AE$1048576,$I$5,Database!$AG$4:$AG$1048576,$I$6),0))))</f>
        <v>0</v>
      </c>
      <c r="L19" s="9">
        <f t="shared" si="1"/>
        <v>0</v>
      </c>
      <c r="M19" s="10" t="e">
        <f t="shared" si="2"/>
        <v>#DIV/0!</v>
      </c>
      <c r="N19" s="10" t="e">
        <f t="shared" si="3"/>
        <v>#DIV/0!</v>
      </c>
      <c r="O19" s="32" t="e">
        <f t="shared" si="4"/>
        <v>#DIV/0!</v>
      </c>
      <c r="P19" s="11" t="s">
        <v>55</v>
      </c>
      <c r="Q19" s="32" t="e">
        <f t="shared" si="11"/>
        <v>#DIV/0!</v>
      </c>
      <c r="R19" s="81" t="e">
        <f t="shared" si="6"/>
        <v>#DIV/0!</v>
      </c>
      <c r="S19" s="81" t="e">
        <f t="shared" si="7"/>
        <v>#DIV/0!</v>
      </c>
      <c r="T19" s="81" t="e">
        <f t="shared" si="12"/>
        <v>#DIV/0!</v>
      </c>
      <c r="U19" s="81" t="e">
        <f t="shared" si="13"/>
        <v>#DIV/0!</v>
      </c>
      <c r="V19" s="255"/>
    </row>
    <row r="20" spans="1:22" ht="18" x14ac:dyDescent="0.35">
      <c r="A20" s="9" t="s">
        <v>24</v>
      </c>
      <c r="B20" s="23">
        <f>IF($I$6="ALL",COUNTIFS(Database!$B$4:$B$1048576,$I$4,Database!$Q$4:$Q$1048576,"=1",Database!$D$4:$D$1048576,$I$5),IF($I$6="Apotek",COUNTIFS(Database!$B$4:$B$1048576,$I$4,Database!$Q$4:$Q$1048576,"=1",Database!$D$4:$D$1048576,$I$5,Database!$F$4:$F$1048576,$I$6),IF($I$6="Rumah sakit",COUNTIFS(Database!$B$4:$B$1048576,$I$4,Database!$Q$4:$Q$1048576,"=1",Database!$D$4:$D$1048576,$I$5,Database!$F$4:$F$1048576,$I$6),IF($I$6="Subdis",COUNTIFS(Database!$B$4:$B$1048576,$I$4,Database!$Q$4:$Q$1048576,"=1",Database!$D$4:$D$1048576,$I$5,Database!$F$4:$F$1048576,$I$6),0))))</f>
        <v>0</v>
      </c>
      <c r="C20" s="23">
        <f>IF($I$6="ALL",COUNTIFS(Database!$B$4:$B$1048576,$I$4,Database!$Q$4:$Q$1048576,"=2",Database!$D$4:$D$1048576,$I$5),IF($I$6="Apotek",COUNTIFS(Database!$B$4:$B$1048576,$I$4,Database!$Q$4:$Q$1048576,"=2",Database!$D$4:$D$1048576,$I$5,Database!$F$4:$F$1048576,$I$6),IF($I$6="Rumah sakit",COUNTIFS(Database!$B$4:$B$1048576,$I$4,Database!$Q$4:$Q$1048576,"=2",Database!$D$4:$D$1048576,$I$5,Database!$F$4:$F$1048576,$I$6),IF($I$6="Subdis",COUNTIFS(Database!$B$4:$B$1048576,$I$4,Database!$Q$4:$Q$1048576,"=2",Database!$D$4:$D$1048576,$I$5,Database!$F$4:$F$1048576,$I$6),0))))</f>
        <v>0</v>
      </c>
      <c r="D20" s="23">
        <f>IF($I$6="ALL",COUNTIFS(Database!$B$4:$B$1048576,$I$4,Database!$Q$4:$Q$1048576,"=3",Database!$D$4:$D$1048576,$I$5),IF($I$6="Apotek",COUNTIFS(Database!$B$4:$B$1048576,$I$4,Database!$Q$4:$Q$1048576,"=3",Database!$D$4:$D$1048576,$I$5,Database!$F$4:$F$1048576,$I$6),IF($I$6="Rumah sakit",COUNTIFS(Database!$B$4:$B$1048576,$I$4,Database!$Q$4:$Q$1048576,"=3",Database!$D$4:$D$1048576,$I$5,Database!$F$4:$F$1048576,$I$6),IF($I$6="Subdis",COUNTIFS(Database!$B$4:$B$1048576,$I$4,Database!$Q$4:$Q$1048576,"=3",Database!$D$4:$D$1048576,$I$5,Database!$F$4:$F$1048576,$I$6),0))))</f>
        <v>0</v>
      </c>
      <c r="E20" s="23">
        <f>IF($I$6="ALL",COUNTIFS(Database!$B$4:$B$1048576,$I$4,Database!$Q$4:$Q$1048576,"=4",Database!$D$4:$D$1048576,$I$5),IF($I$6="Apotek",COUNTIFS(Database!$B$4:$B$1048576,$I$4,Database!$Q$4:$Q$1048576,"=4",Database!$D$4:$D$1048576,$I$5,Database!$F$4:$F$1048576,$I$6),IF($I$6="Rumah sakit",COUNTIFS(Database!$B$4:$B$1048576,$I$4,Database!$Q$4:$Q$1048576,"=4",Database!$D$4:$D$1048576,$I$5,Database!$F$4:$F$1048576,$I$6),IF($I$6="Subdis",COUNTIFS(Database!$B$4:$B$1048576,$I$4,Database!$Q$4:$Q$1048576,"=4",Database!$D$4:$D$1048576,$I$5,Database!$F$4:$F$1048576,$I$6),0))))</f>
        <v>0</v>
      </c>
      <c r="F20" s="9">
        <f t="shared" si="0"/>
        <v>0</v>
      </c>
      <c r="G20" s="10" t="e">
        <f t="shared" si="10"/>
        <v>#DIV/0!</v>
      </c>
      <c r="H20" s="23">
        <f>IF($I$6="ALL",COUNTIFS(Database!$AC$4:$AC$1048576,$I$4,Database!$AR$4:$AR$1048576,"=1",Database!$AE$4:$AE$1048576,$I$5),IF($I$6="Apotek",COUNTIFS(Database!$AC$4:$AC$1048576,$I$4,Database!$AR$4:$AR$1048576,"=1",Database!$AE$4:$AE$1048576,$I$5,Database!$AG$4:$AG$1048576,$I$6),IF($I$6="Rumah sakit",COUNTIFS(Database!$AC$4:$AC$1048576,$I$4,Database!$AR$4:$AR$1048576,"=1",Database!$AE$4:$AE$1048576,$I$5,Database!$AG$4:$AG$1048576,$I$6),IF($I$6="Subdis",COUNTIFS(Database!$AC$4:$AC$1048576,$I$4,Database!$AR$4:$AR$1048576,"=1",Database!$AE$4:$AE$1048576,$I$5,Database!$AG$4:$AG$1048576,$I$6),0))))</f>
        <v>0</v>
      </c>
      <c r="I20" s="23">
        <f>IF($I$6="ALL",COUNTIFS(Database!$AC$4:$AC$1048576,$I$4,Database!$AR$4:$AR$1048576,"=2",Database!$AE$4:$AE$1048576,$I$5),IF($I$6="Apotek",COUNTIFS(Database!$AC$4:$AC$1048576,$I$4,Database!$AR$4:$AR$1048576,"=2",Database!$AE$4:$AE$1048576,$I$5,Database!$AG$4:$AG$1048576,$I$6),IF($I$6="Rumah sakit",COUNTIFS(Database!$AC$4:$AC$1048576,$I$4,Database!$AR$4:$AR$1048576,"=2",Database!$AE$4:$AE$1048576,$I$5,Database!$AG$4:$AG$1048576,$I$6),IF($I$6="Subdis",COUNTIFS(Database!$AC$4:$AC$1048576,$I$4,Database!$AR$4:$AR$1048576,"=2",Database!$AE$4:$AE$1048576,$I$5,Database!$AG$4:$AG$1048576,$I$6),0))))</f>
        <v>0</v>
      </c>
      <c r="J20" s="23">
        <f>IF($I$6="ALL",COUNTIFS(Database!$AC$4:$AC$1048576,$I$4,Database!$AR$4:$AR$1048576,"=3",Database!$AE$4:$AE$1048576,$I$5),IF($I$6="Apotek",COUNTIFS(Database!$AC$4:$AC$1048576,$I$4,Database!$AR$4:$AR$1048576,"=3",Database!$AE$4:$AE$1048576,$I$5,Database!$AG$4:$AG$1048576,$I$6),IF($I$6="Rumah sakit",COUNTIFS(Database!$AC$4:$AC$1048576,$I$4,Database!$AR$4:$AR$1048576,"=3",Database!$AE$4:$AE$1048576,$I$5,Database!$AG$4:$AG$1048576,$I$6),IF($I$6="Subdis",COUNTIFS(Database!$AC$4:$AC$1048576,$I$4,Database!$AR$4:$AR$1048576,"=3",Database!$AE$4:$AE$1048576,$I$5,Database!$AG$4:$AG$1048576,$I$6),0))))</f>
        <v>0</v>
      </c>
      <c r="K20" s="23">
        <f>IF($I$6="ALL",COUNTIFS(Database!$AC$4:$AC$1048576,$I$4,Database!$AR$4:$AR$1048576,"=4",Database!$AE$4:$AE$1048576,$I$5),IF($I$6="Apotek",COUNTIFS(Database!$AC$4:$AC$1048576,$I$4,Database!$AR$4:$AR$1048576,"=4",Database!$AE$4:$AE$1048576,$I$5,Database!$AG$4:$AG$1048576,$I$6),IF($I$6="Rumah sakit",COUNTIFS(Database!$AC$4:$AC$1048576,$I$4,Database!$AR$4:$AR$1048576,"=4",Database!$AE$4:$AE$1048576,$I$5,Database!$AG$4:$AG$1048576,$I$6),IF($I$6="Subdis",COUNTIFS(Database!$AC$4:$AC$1048576,$I$4,Database!$AR$4:$AR$1048576,"=4",Database!$AE$4:$AE$1048576,$I$5,Database!$AG$4:$AG$1048576,$I$6),0))))</f>
        <v>0</v>
      </c>
      <c r="L20" s="9">
        <f t="shared" si="1"/>
        <v>0</v>
      </c>
      <c r="M20" s="10" t="e">
        <f t="shared" si="2"/>
        <v>#DIV/0!</v>
      </c>
      <c r="N20" s="10" t="e">
        <f t="shared" si="3"/>
        <v>#DIV/0!</v>
      </c>
      <c r="O20" s="32" t="e">
        <f t="shared" si="4"/>
        <v>#DIV/0!</v>
      </c>
      <c r="P20" s="11" t="s">
        <v>56</v>
      </c>
      <c r="Q20" s="32" t="e">
        <f t="shared" si="11"/>
        <v>#DIV/0!</v>
      </c>
      <c r="R20" s="81" t="e">
        <f t="shared" si="6"/>
        <v>#DIV/0!</v>
      </c>
      <c r="S20" s="81" t="e">
        <f t="shared" si="7"/>
        <v>#DIV/0!</v>
      </c>
      <c r="T20" s="81" t="e">
        <f t="shared" si="12"/>
        <v>#DIV/0!</v>
      </c>
      <c r="U20" s="81" t="e">
        <f t="shared" si="13"/>
        <v>#DIV/0!</v>
      </c>
      <c r="V20" s="255"/>
    </row>
    <row r="21" spans="1:22" ht="18" x14ac:dyDescent="0.35">
      <c r="A21" s="9" t="s">
        <v>25</v>
      </c>
      <c r="B21" s="23">
        <f>IF($I$6="ALL",COUNTIFS(Database!$B$4:$B$1048576,$I$4,Database!$R$4:$R$1048576,"=1",Database!$D$4:$D$1048576,$I$5),IF($I$6="Apotek",COUNTIFS(Database!$B$4:$B$1048576,$I$4,Database!$R$4:$R$1048576,"=1",Database!$D$4:$D$1048576,$I$5,Database!$F$4:$F$1048576,$I$6),IF($I$6="Rumah sakit",COUNTIFS(Database!$B$4:$B$1048576,$I$4,Database!$R$4:$R$1048576,"=1",Database!$D$4:$D$1048576,$I$5,Database!$F$4:$F$1048576,$I$6),IF($I$6="Subdis",COUNTIFS(Database!$B$4:$B$1048576,$I$4,Database!$R$4:$R$1048576,"=1",Database!$D$4:$D$1048576,$I$5,Database!$F$4:$F$1048576,$I$6),0))))</f>
        <v>0</v>
      </c>
      <c r="C21" s="23">
        <f>IF($I$6="ALL",COUNTIFS(Database!$B$4:$B$1048576,$I$4,Database!$R$4:$R$1048576,"=2",Database!$D$4:$D$1048576,$I$5),IF($I$6="Apotek",COUNTIFS(Database!$B$4:$B$1048576,$I$4,Database!$R$4:$R$1048576,"=2",Database!$D$4:$D$1048576,$I$5,Database!$F$4:$F$1048576,$I$6),IF($I$6="Rumah sakit",COUNTIFS(Database!$B$4:$B$1048576,$I$4,Database!$R$4:$R$1048576,"=2",Database!$D$4:$D$1048576,$I$5,Database!$F$4:$F$1048576,$I$6),IF($I$6="Subdis",COUNTIFS(Database!$B$4:$B$1048576,$I$4,Database!$R$4:$R$1048576,"=2",Database!$D$4:$D$1048576,$I$5,Database!$F$4:$F$1048576,$I$6),0))))</f>
        <v>0</v>
      </c>
      <c r="D21" s="23">
        <f>IF($I$6="ALL",COUNTIFS(Database!$B$4:$B$1048576,$I$4,Database!$R$4:$R$1048576,"=3",Database!$D$4:$D$1048576,$I$5),IF($I$6="Apotek",COUNTIFS(Database!$B$4:$B$1048576,$I$4,Database!$R$4:$R$1048576,"=3",Database!$D$4:$D$1048576,$I$5,Database!$F$4:$F$1048576,$I$6),IF($I$6="Rumah sakit",COUNTIFS(Database!$B$4:$B$1048576,$I$4,Database!$R$4:$R$1048576,"=3",Database!$D$4:$D$1048576,$I$5,Database!$F$4:$F$1048576,$I$6),IF($I$6="Subdis",COUNTIFS(Database!$B$4:$B$1048576,$I$4,Database!$R$4:$R$1048576,"=3",Database!$D$4:$D$1048576,$I$5,Database!$F$4:$F$1048576,$I$6),0))))</f>
        <v>0</v>
      </c>
      <c r="E21" s="23">
        <f>IF($I$6="ALL",COUNTIFS(Database!$B$4:$B$1048576,$I$4,Database!$R$4:$R$1048576,"=4",Database!$D$4:$D$1048576,$I$5),IF($I$6="Apotek",COUNTIFS(Database!$B$4:$B$1048576,$I$4,Database!$R$4:$R$1048576,"=4",Database!$D$4:$D$1048576,$I$5,Database!$F$4:$F$1048576,$I$6),IF($I$6="Rumah sakit",COUNTIFS(Database!$B$4:$B$1048576,$I$4,Database!$R$4:$R$1048576,"=4",Database!$D$4:$D$1048576,$I$5,Database!$F$4:$F$1048576,$I$6),IF($I$6="Subdis",COUNTIFS(Database!$B$4:$B$1048576,$I$4,Database!$R$4:$R$1048576,"=4",Database!$D$4:$D$1048576,$I$5,Database!$F$4:$F$1048576,$I$6),0))))</f>
        <v>0</v>
      </c>
      <c r="F21" s="9">
        <f t="shared" si="0"/>
        <v>0</v>
      </c>
      <c r="G21" s="10" t="e">
        <f t="shared" si="10"/>
        <v>#DIV/0!</v>
      </c>
      <c r="H21" s="23">
        <f>IF($I$6="ALL",COUNTIFS(Database!$AC$4:$AC$1048576,$I$4,Database!$AS$4:$AS$1048576,"=1",Database!$AE$4:$AE$1048576,$I$5),IF($I$6="Apotek",COUNTIFS(Database!$AC$4:$AC$1048576,$I$4,Database!$AS$4:$AS$1048576,"=1",Database!$AE$4:$AE$1048576,$I$5,Database!$AG$4:$AG$1048576,$I$6),IF($I$6="Rumah sakit",COUNTIFS(Database!$AC$4:$AC$1048576,$I$4,Database!$AS$4:$AS$1048576,"=1",Database!$AE$4:$AE$1048576,$I$5,Database!$AG$4:$AG$1048576,$I$6),IF($I$6="Subdis",COUNTIFS(Database!$AC$4:$AC$1048576,$I$4,Database!$AS$4:$AS$1048576,"=1",Database!$AE$4:$AE$1048576,$I$5,Database!$AG$4:$AG$1048576,$I$6),0))))</f>
        <v>0</v>
      </c>
      <c r="I21" s="23">
        <f>IF($I$6="ALL",COUNTIFS(Database!$AC$4:$AC$1048576,$I$4,Database!$AS$4:$AS$1048576,"=2",Database!$AE$4:$AE$1048576,$I$5),IF($I$6="Apotek",COUNTIFS(Database!$AC$4:$AC$1048576,$I$4,Database!$AS$4:$AS$1048576,"=2",Database!$AE$4:$AE$1048576,$I$5,Database!$AG$4:$AG$1048576,$I$6),IF($I$6="Rumah sakit",COUNTIFS(Database!$AC$4:$AC$1048576,$I$4,Database!$AS$4:$AS$1048576,"=2",Database!$AE$4:$AE$1048576,$I$5,Database!$AG$4:$AG$1048576,$I$6),IF($I$6="Subdis",COUNTIFS(Database!$AC$4:$AC$1048576,$I$4,Database!$AS$4:$AS$1048576,"=2",Database!$AE$4:$AE$1048576,$I$5,Database!$AG$4:$AG$1048576,$I$6),0))))</f>
        <v>0</v>
      </c>
      <c r="J21" s="23">
        <f>IF($I$6="ALL",COUNTIFS(Database!$AC$4:$AC$1048576,$I$4,Database!$AS$4:$AS$1048576,"=3",Database!$AE$4:$AE$1048576,$I$5),IF($I$6="Apotek",COUNTIFS(Database!$AC$4:$AC$1048576,$I$4,Database!$AS$4:$AS$1048576,"=3",Database!$AE$4:$AE$1048576,$I$5,Database!$AG$4:$AG$1048576,$I$6),IF($I$6="Rumah sakit",COUNTIFS(Database!$AC$4:$AC$1048576,$I$4,Database!$AS$4:$AS$1048576,"=3",Database!$AE$4:$AE$1048576,$I$5,Database!$AG$4:$AG$1048576,$I$6),IF($I$6="Subdis",COUNTIFS(Database!$AC$4:$AC$1048576,$I$4,Database!$AS$4:$AS$1048576,"=3",Database!$AE$4:$AE$1048576,$I$5,Database!$AG$4:$AG$1048576,$I$6),0))))</f>
        <v>0</v>
      </c>
      <c r="K21" s="23">
        <f>IF($I$6="ALL",COUNTIFS(Database!$AC$4:$AC$1048576,$I$4,Database!$AS$4:$AS$1048576,"=4",Database!$AE$4:$AE$1048576,$I$5),IF($I$6="Apotek",COUNTIFS(Database!$AC$4:$AC$1048576,$I$4,Database!$AS$4:$AS$1048576,"=4",Database!$AE$4:$AE$1048576,$I$5,Database!$AG$4:$AG$1048576,$I$6),IF($I$6="Rumah sakit",COUNTIFS(Database!$AC$4:$AC$1048576,$I$4,Database!$AS$4:$AS$1048576,"=4",Database!$AE$4:$AE$1048576,$I$5,Database!$AG$4:$AG$1048576,$I$6),IF($I$6="Subdis",COUNTIFS(Database!$AC$4:$AC$1048576,$I$4,Database!$AS$4:$AS$1048576,"=4",Database!$AE$4:$AE$1048576,$I$5,Database!$AG$4:$AG$1048576,$I$6),0))))</f>
        <v>0</v>
      </c>
      <c r="L21" s="9">
        <f t="shared" si="1"/>
        <v>0</v>
      </c>
      <c r="M21" s="10" t="e">
        <f t="shared" si="2"/>
        <v>#DIV/0!</v>
      </c>
      <c r="N21" s="10" t="e">
        <f t="shared" si="3"/>
        <v>#DIV/0!</v>
      </c>
      <c r="O21" s="32" t="e">
        <f t="shared" si="4"/>
        <v>#DIV/0!</v>
      </c>
      <c r="P21" s="11" t="s">
        <v>57</v>
      </c>
      <c r="Q21" s="32" t="e">
        <f>RANK(O21,$O$21:$O$23)</f>
        <v>#DIV/0!</v>
      </c>
      <c r="R21" s="81" t="e">
        <f t="shared" si="6"/>
        <v>#DIV/0!</v>
      </c>
      <c r="S21" s="81" t="e">
        <f t="shared" si="7"/>
        <v>#DIV/0!</v>
      </c>
      <c r="T21" s="81" t="e">
        <f>RANK(G21,$G$21:$G$23)</f>
        <v>#DIV/0!</v>
      </c>
      <c r="U21" s="81" t="e">
        <f>RANK(M21,M21:M23)</f>
        <v>#DIV/0!</v>
      </c>
      <c r="V21" s="254" t="s">
        <v>184</v>
      </c>
    </row>
    <row r="22" spans="1:22" ht="18" x14ac:dyDescent="0.35">
      <c r="A22" s="9" t="s">
        <v>26</v>
      </c>
      <c r="B22" s="23">
        <f>IF($I$6="ALL",COUNTIFS(Database!$B$4:$B$1048576,$I$4,Database!$S$4:$S$1048576,"=1",Database!$D$4:$D$1048576,$I$5),IF($I$6="Apotek",COUNTIFS(Database!$B$4:$B$1048576,$I$4,Database!$S$4:$S$1048576,"=1",Database!$D$4:$D$1048576,$I$5,Database!$F$4:$F$1048576,$I$6),IF($I$6="Rumah sakit",COUNTIFS(Database!$B$4:$B$1048576,$I$4,Database!$S$4:$S$1048576,"=1",Database!$D$4:$D$1048576,$I$5,Database!$F$4:$F$1048576,$I$6),IF($I$6="Subdis",COUNTIFS(Database!$B$4:$B$1048576,$I$4,Database!$S$4:$S$1048576,"=1",Database!$D$4:$D$1048576,$I$5,Database!$F$4:$F$1048576,$I$6),0))))</f>
        <v>0</v>
      </c>
      <c r="C22" s="23">
        <f>IF($I$6="ALL",COUNTIFS(Database!$B$4:$B$1048576,$I$4,Database!$S$4:$S$1048576,"=2",Database!$D$4:$D$1048576,$I$5),IF($I$6="Apotek",COUNTIFS(Database!$B$4:$B$1048576,$I$4,Database!$S$4:$S$1048576,"=2",Database!$D$4:$D$1048576,$I$5,Database!$F$4:$F$1048576,$I$6),IF($I$6="Rumah sakit",COUNTIFS(Database!$B$4:$B$1048576,$I$4,Database!$S$4:$S$1048576,"=2",Database!$D$4:$D$1048576,$I$5,Database!$F$4:$F$1048576,$I$6),IF($I$6="Subdis",COUNTIFS(Database!$B$4:$B$1048576,$I$4,Database!$S$4:$S$1048576,"=2",Database!$D$4:$D$1048576,$I$5,Database!$F$4:$F$1048576,$I$6),0))))</f>
        <v>0</v>
      </c>
      <c r="D22" s="23">
        <f>IF($I$6="ALL",COUNTIFS(Database!$B$4:$B$1048576,$I$4,Database!$S$4:$S$1048576,"=3",Database!$D$4:$D$1048576,$I$5),IF($I$6="Apotek",COUNTIFS(Database!$B$4:$B$1048576,$I$4,Database!$S$4:$S$1048576,"=3",Database!$D$4:$D$1048576,$I$5,Database!$F$4:$F$1048576,$I$6),IF($I$6="Rumah sakit",COUNTIFS(Database!$B$4:$B$1048576,$I$4,Database!$S$4:$S$1048576,"=3",Database!$D$4:$D$1048576,$I$5,Database!$F$4:$F$1048576,$I$6),IF($I$6="Subdis",COUNTIFS(Database!$B$4:$B$1048576,$I$4,Database!$S$4:$S$1048576,"=3",Database!$D$4:$D$1048576,$I$5,Database!$F$4:$F$1048576,$I$6),0))))</f>
        <v>0</v>
      </c>
      <c r="E22" s="23">
        <f>IF($I$6="ALL",COUNTIFS(Database!$B$4:$B$1048576,$I$4,Database!$S$4:$S$1048576,"=4",Database!$D$4:$D$1048576,$I$5),IF($I$6="Apotek",COUNTIFS(Database!$B$4:$B$1048576,$I$4,Database!$S$4:$S$1048576,"=4",Database!$D$4:$D$1048576,$I$5,Database!$F$4:$F$1048576,$I$6),IF($I$6="Rumah sakit",COUNTIFS(Database!$B$4:$B$1048576,$I$4,Database!$S$4:$S$1048576,"=4",Database!$D$4:$D$1048576,$I$5,Database!$F$4:$F$1048576,$I$6),IF($I$6="Subdis",COUNTIFS(Database!$B$4:$B$1048576,$I$4,Database!$S$4:$S$1048576,"=4",Database!$D$4:$D$1048576,$I$5,Database!$F$4:$F$1048576,$I$6),0))))</f>
        <v>0</v>
      </c>
      <c r="F22" s="9">
        <f t="shared" si="0"/>
        <v>0</v>
      </c>
      <c r="G22" s="10" t="e">
        <f t="shared" si="10"/>
        <v>#DIV/0!</v>
      </c>
      <c r="H22" s="23">
        <f>IF($I$6="ALL",COUNTIFS(Database!$AC$4:$AC$1048576,$I$4,Database!$AT$4:$AT$1048576,"=1",Database!$AE$4:$AE$1048576,$I$5),IF($I$6="Apotek",COUNTIFS(Database!$AC$4:$AC$1048576,$I$4,Database!$AT$4:$AT$1048576,"=1",Database!$AE$4:$AE$1048576,$I$5,Database!$AG$4:$AG$1048576,$I$6),IF($I$6="Rumah sakit",COUNTIFS(Database!$AC$4:$AC$1048576,$I$4,Database!$AT$4:$AT$1048576,"=1",Database!$AE$4:$AE$1048576,$I$5,Database!$AG$4:$AG$1048576,$I$6),IF($I$6="Subdis",COUNTIFS(Database!$AC$4:$AC$1048576,$I$4,Database!$AT$4:$AT$1048576,"=1",Database!$AE$4:$AE$1048576,$I$5,Database!$AG$4:$AG$1048576,$I$6),0))))</f>
        <v>0</v>
      </c>
      <c r="I22" s="23">
        <f>IF($I$6="ALL",COUNTIFS(Database!$AC$4:$AC$1048576,$I$4,Database!$AT$4:$AT$1048576,"=2",Database!$AE$4:$AE$1048576,$I$5),IF($I$6="Apotek",COUNTIFS(Database!$AC$4:$AC$1048576,$I$4,Database!$AT$4:$AT$1048576,"=2",Database!$AE$4:$AE$1048576,$I$5,Database!$AG$4:$AG$1048576,$I$6),IF($I$6="Rumah sakit",COUNTIFS(Database!$AC$4:$AC$1048576,$I$4,Database!$AT$4:$AT$1048576,"=2",Database!$AE$4:$AE$1048576,$I$5,Database!$AG$4:$AG$1048576,$I$6),IF($I$6="Subdis",COUNTIFS(Database!$AC$4:$AC$1048576,$I$4,Database!$AT$4:$AT$1048576,"=2",Database!$AE$4:$AE$1048576,$I$5,Database!$AG$4:$AG$1048576,$I$6),0))))</f>
        <v>0</v>
      </c>
      <c r="J22" s="23">
        <f>IF($I$6="ALL",COUNTIFS(Database!$AC$4:$AC$1048576,$I$4,Database!$AT$4:$AT$1048576,"=3",Database!$AE$4:$AE$1048576,$I$5),IF($I$6="Apotek",COUNTIFS(Database!$AC$4:$AC$1048576,$I$4,Database!$AT$4:$AT$1048576,"=1",Database!$AE$4:$AE$1048576,$I$5,Database!$AG$4:$AG$1048576,$I$6),IF($I$6="Rumah sakit",COUNTIFS(Database!$AC$4:$AC$1048576,$I$4,Database!$AT$4:$AT$1048576,"=3",Database!$AE$4:$AE$1048576,$I$5,Database!$AG$4:$AG$1048576,$I$6),IF($I$6="Subdis",COUNTIFS(Database!$AC$4:$AC$1048576,$I$4,Database!$AT$4:$AT$1048576,"=3",Database!$AE$4:$AE$1048576,$I$5,Database!$AG$4:$AG$1048576,$I$6),0))))</f>
        <v>0</v>
      </c>
      <c r="K22" s="23">
        <f>IF($I$6="ALL",COUNTIFS(Database!$AC$4:$AC$1048576,$I$4,Database!$AT$4:$AT$1048576,"=4",Database!$AE$4:$AE$1048576,$I$5),IF($I$6="Apotek",COUNTIFS(Database!$AC$4:$AC$1048576,$I$4,Database!$AT$4:$AT$1048576,"=4",Database!$AE$4:$AE$1048576,$I$5,Database!$AG$4:$AG$1048576,$I$6),IF($I$6="Rumah sakit",COUNTIFS(Database!$AC$4:$AC$1048576,$I$4,Database!$AT$4:$AT$1048576,"=4",Database!$AE$4:$AE$1048576,$I$5,Database!$AG$4:$AG$1048576,$I$6),IF($I$6="Subdis",COUNTIFS(Database!$AC$4:$AC$1048576,$I$4,Database!$AT$4:$AT$1048576,"=4",Database!$AE$4:$AE$1048576,$I$5,Database!$AG$4:$AG$1048576,$I$6),0))))</f>
        <v>0</v>
      </c>
      <c r="L22" s="9">
        <f t="shared" si="1"/>
        <v>0</v>
      </c>
      <c r="M22" s="10" t="e">
        <f t="shared" si="2"/>
        <v>#DIV/0!</v>
      </c>
      <c r="N22" s="10" t="e">
        <f t="shared" si="3"/>
        <v>#DIV/0!</v>
      </c>
      <c r="O22" s="32" t="e">
        <f t="shared" si="4"/>
        <v>#DIV/0!</v>
      </c>
      <c r="P22" s="11" t="s">
        <v>58</v>
      </c>
      <c r="Q22" s="32" t="e">
        <f t="shared" ref="Q22:Q23" si="14">RANK(O22,$O$21:$O$23)</f>
        <v>#DIV/0!</v>
      </c>
      <c r="R22" s="81" t="e">
        <f t="shared" si="6"/>
        <v>#DIV/0!</v>
      </c>
      <c r="S22" s="81" t="e">
        <f t="shared" si="7"/>
        <v>#DIV/0!</v>
      </c>
      <c r="T22" s="81" t="e">
        <f t="shared" ref="T22:T23" si="15">RANK(G22,$G$21:$G$23)</f>
        <v>#DIV/0!</v>
      </c>
      <c r="U22" s="81" t="e">
        <f t="shared" ref="U22:U23" si="16">RANK(M22,M22:M24)</f>
        <v>#DIV/0!</v>
      </c>
      <c r="V22" s="254"/>
    </row>
    <row r="23" spans="1:22" ht="18" x14ac:dyDescent="0.35">
      <c r="A23" s="9" t="s">
        <v>27</v>
      </c>
      <c r="B23" s="23">
        <f>IF($I$6="ALL",COUNTIFS(Database!$B$4:$B$1048576,$I$4,Database!$T$4:$T$1048576,"=1",Database!$D$4:$D$1048576,$I$5),IF($I$6="Apotek",COUNTIFS(Database!$B$4:$B$1048576,$I$4,Database!$T$4:$T$1048576,"=1",Database!$D$4:$D$1048576,$I$5,Database!$F$4:$F$1048576,$I$6),IF($I$6="Rumah sakit",COUNTIFS(Database!$B$4:$B$1048576,$I$4,Database!$T$4:$T$1048576,"=1",Database!$D$4:$D$1048576,$I$5,Database!$F$4:$F$1048576,$I$6),IF($I$6="Subdis",COUNTIFS(Database!$B$4:$B$1048576,$I$4,Database!$T$4:$T$1048576,"=1",Database!$D$4:$D$1048576,$I$5,Database!$F$4:$F$1048576,$I$6),0))))</f>
        <v>0</v>
      </c>
      <c r="C23" s="23">
        <f>IF($I$6="ALL",COUNTIFS(Database!$B$4:$B$1048576,$I$4,Database!$T$4:$T$1048576,"=2",Database!$D$4:$D$1048576,$I$5),IF($I$6="Apotek",COUNTIFS(Database!$B$4:$B$1048576,$I$4,Database!$T$4:$T$1048576,"=2",Database!$D$4:$D$1048576,$I$5,Database!$F$4:$F$1048576,$I$6),IF($I$6="Rumah sakit",COUNTIFS(Database!$B$4:$B$1048576,$I$4,Database!$T$4:$T$1048576,"=2",Database!$D$4:$D$1048576,$I$5,Database!$F$4:$F$1048576,$I$6),IF($I$6="Subdis",COUNTIFS(Database!$B$4:$B$1048576,$I$4,Database!$T$4:$T$1048576,"=2",Database!$D$4:$D$1048576,$I$5,Database!$F$4:$F$1048576,$I$6),0))))</f>
        <v>0</v>
      </c>
      <c r="D23" s="23">
        <f>IF($I$6="ALL",COUNTIFS(Database!$B$4:$B$1048576,$I$4,Database!$T$4:$T$1048576,"=3",Database!$D$4:$D$1048576,$I$5),IF($I$6="Apotek",COUNTIFS(Database!$B$4:$B$1048576,$I$4,Database!$T$4:$T$1048576,"=3",Database!$D$4:$D$1048576,$I$5,Database!$F$4:$F$1048576,$I$6),IF($I$6="Rumah sakit",COUNTIFS(Database!$B$4:$B$1048576,$I$4,Database!$T$4:$T$1048576,"=3",Database!$D$4:$D$1048576,$I$5,Database!$F$4:$F$1048576,$I$6),IF($I$6="Subdis",COUNTIFS(Database!$B$4:$B$1048576,$I$4,Database!$T$4:$T$1048576,"=3",Database!$D$4:$D$1048576,$I$5,Database!$F$4:$F$1048576,$I$6),0))))</f>
        <v>0</v>
      </c>
      <c r="E23" s="23">
        <f>IF($I$6="ALL",COUNTIFS(Database!$B$4:$B$1048576,$I$4,Database!$T$4:$T$1048576,"=4",Database!$D$4:$D$1048576,$I$5),IF($I$6="Apotek",COUNTIFS(Database!$B$4:$B$1048576,$I$4,Database!$T$4:$T$1048576,"=4",Database!$D$4:$D$1048576,$I$5,Database!$F$4:$F$1048576,$I$6),IF($I$6="Rumah sakit",COUNTIFS(Database!$B$4:$B$1048576,$I$4,Database!$T$4:$T$1048576,"=4",Database!$D$4:$D$1048576,$I$5,Database!$F$4:$F$1048576,$I$6),IF($I$6="Subdis",COUNTIFS(Database!$B$4:$B$1048576,$I$4,Database!$T$4:$T$1048576,"=4",Database!$D$4:$D$1048576,$I$5,Database!$F$4:$F$1048576,$I$6),0))))</f>
        <v>0</v>
      </c>
      <c r="F23" s="9">
        <f t="shared" si="0"/>
        <v>0</v>
      </c>
      <c r="G23" s="10" t="e">
        <f t="shared" si="10"/>
        <v>#DIV/0!</v>
      </c>
      <c r="H23" s="23">
        <f>IF($I$6="ALL",COUNTIFS(Database!$AC$4:$AC$1048576,$I$4,Database!$AU$4:$AU$1048576,"=1",Database!$AE$4:$AE$1048576,$I$5),IF($I$6="Apotek",COUNTIFS(Database!$AC$4:$AC$1048576,$I$4,Database!$AU$4:$AU$1048576,"=1",Database!$AE$4:$AE$1048576,$I$5,Database!$AG$4:$AG$1048576,$I$6),IF($I$6="Rumah sakit",COUNTIFS(Database!$AC$4:$AC$1048576,$I$4,Database!$AU$4:$AU$1048576,"=1",Database!$AE$4:$AE$1048576,$I$5,Database!$AG$4:$AG$1048576,$I$6),IF($I$6="Subdis",COUNTIFS(Database!$AC$4:$AC$1048576,$I$4,Database!$AU$4:$AU$1048576,"=1",Database!$AE$4:$AE$1048576,$I$5,Database!$AG$4:$AG$1048576,$I$6),0))))</f>
        <v>0</v>
      </c>
      <c r="I23" s="23">
        <f>IF($I$6="ALL",COUNTIFS(Database!$AC$4:$AC$1048576,$I$4,Database!$AU$4:$AU$1048576,"=2",Database!$AE$4:$AE$1048576,$I$5),IF($I$6="Apotek",COUNTIFS(Database!$AC$4:$AC$1048576,$I$4,Database!$AU$4:$AU$1048576,"=2",Database!$AE$4:$AE$1048576,$I$5,Database!$AG$4:$AG$1048576,$I$6),IF($I$6="Rumah sakit",COUNTIFS(Database!$AC$4:$AC$1048576,$I$4,Database!$AU$4:$AU$1048576,"=2",Database!$AE$4:$AE$1048576,$I$5,Database!$AG$4:$AG$1048576,$I$6),IF($I$6="Subdis",COUNTIFS(Database!$AC$4:$AC$1048576,$I$4,Database!$AU$4:$AU$1048576,"=2",Database!$AE$4:$AE$1048576,$I$5,Database!$AG$4:$AG$1048576,$I$6),0))))</f>
        <v>0</v>
      </c>
      <c r="J23" s="23">
        <f>IF($I$6="ALL",COUNTIFS(Database!$AC$4:$AC$1048576,$I$4,Database!$AU$4:$AU$1048576,"=3",Database!$AE$4:$AE$1048576,$I$5),IF($I$6="Apotek",COUNTIFS(Database!$AC$4:$AC$1048576,$I$4,Database!$AU$4:$AU$1048576,"=1",Database!$AE$4:$AE$1048576,$I$5,Database!$AG$4:$AG$1048576,$I$6),IF($I$6="Rumah sakit",COUNTIFS(Database!$AC$4:$AC$1048576,$I$4,Database!$AU$4:$AU$1048576,"=3",Database!$AE$4:$AE$1048576,$I$5,Database!$AG$4:$AG$1048576,$I$6),IF($I$6="Subdis",COUNTIFS(Database!$AC$4:$AC$1048576,$I$4,Database!$AU$4:$AU$1048576,"=3",Database!$AE$4:$AE$1048576,$I$5,Database!$AG$4:$AG$1048576,$I$6),0))))</f>
        <v>0</v>
      </c>
      <c r="K23" s="23">
        <f>IF($I$6="ALL",COUNTIFS(Database!$AC$4:$AC$1048576,$I$4,Database!$AU$4:$AU$1048576,"=4",Database!$AE$4:$AE$1048576,$I$5),IF($I$6="Apotek",COUNTIFS(Database!$AC$4:$AC$1048576,$I$4,Database!$AU$4:$AU$1048576,"=4",Database!$AE$4:$AE$1048576,$I$5,Database!$AG$4:$AG$1048576,$I$6),IF($I$6="Rumah sakit",COUNTIFS(Database!$AC$4:$AC$1048576,$I$4,Database!$AU$4:$AU$1048576,"=4",Database!$AE$4:$AE$1048576,$I$5,Database!$AG$4:$AG$1048576,$I$6),IF($I$6="Subdis",COUNTIFS(Database!$AC$4:$AC$1048576,$I$4,Database!$AU$4:$AU$1048576,"=4",Database!$AE$4:$AE$1048576,$I$5,Database!$AG$4:$AG$1048576,$I$6),0))))</f>
        <v>0</v>
      </c>
      <c r="L23" s="9">
        <f t="shared" si="1"/>
        <v>0</v>
      </c>
      <c r="M23" s="10" t="e">
        <f>L23/(K23+J23+I23+H23)</f>
        <v>#DIV/0!</v>
      </c>
      <c r="N23" s="10" t="e">
        <f t="shared" si="3"/>
        <v>#DIV/0!</v>
      </c>
      <c r="O23" s="32" t="e">
        <f t="shared" si="4"/>
        <v>#DIV/0!</v>
      </c>
      <c r="P23" s="11" t="s">
        <v>6</v>
      </c>
      <c r="Q23" s="32" t="e">
        <f t="shared" si="14"/>
        <v>#DIV/0!</v>
      </c>
      <c r="R23" s="81" t="e">
        <f t="shared" si="6"/>
        <v>#DIV/0!</v>
      </c>
      <c r="S23" s="81" t="e">
        <f t="shared" si="7"/>
        <v>#DIV/0!</v>
      </c>
      <c r="T23" s="81" t="e">
        <f t="shared" si="15"/>
        <v>#DIV/0!</v>
      </c>
      <c r="U23" s="81" t="e">
        <f t="shared" si="16"/>
        <v>#DIV/0!</v>
      </c>
      <c r="V23" s="254"/>
    </row>
    <row r="24" spans="1:22" ht="18" x14ac:dyDescent="0.35">
      <c r="A24" s="9" t="s">
        <v>28</v>
      </c>
      <c r="B24" s="23">
        <f>IF($I$6="ALL",COUNTIFS(Database!$B$4:$B$1048576,$I$4,Database!$U$4:$U$1048576,"=1",Database!$D$4:$D$1048576,$I$5),IF($I$6="Apotek",COUNTIFS(Database!$B$4:$B$1048576,$I$4,Database!$U$4:$U$1048576,"=1",Database!$D$4:$D$1048576,$I$5,Database!$F$4:$F$1048576,$I$6),IF($I$6="Rumah sakit",COUNTIFS(Database!$B$4:$B$1048576,$I$4,Database!$U$4:$U$1048576,"=1",Database!$D$4:$D$1048576,$I$5,Database!$F$4:$F$1048576,$I$6),IF($I$6="Subdis",COUNTIFS(Database!$B$4:$B$1048576,$I$4,Database!$U$4:$U$1048576,"=1",Database!$D$4:$D$1048576,$I$5,Database!$F$4:$F$1048576,$I$6),0))))</f>
        <v>0</v>
      </c>
      <c r="C24" s="23">
        <f>IF($I$6="ALL",COUNTIFS(Database!$B$4:$B$1048576,$I$4,Database!$U$4:$U$1048576,"=2",Database!$D$4:$D$1048576,$I$5),IF($I$6="Apotek",COUNTIFS(Database!$B$4:$B$1048576,$I$4,Database!$U$4:$U$1048576,"=2",Database!$D$4:$D$1048576,$I$5,Database!$F$4:$F$1048576,$I$6),IF($I$6="Rumah sakit",COUNTIFS(Database!$B$4:$B$1048576,$I$4,Database!$U$4:$U$1048576,"=2",Database!$D$4:$D$1048576,$I$5,Database!$F$4:$F$1048576,$I$6),IF($I$6="Subdis",COUNTIFS(Database!$B$4:$B$1048576,$I$4,Database!$U$4:$U$1048576,"=2",Database!$D$4:$D$1048576,$I$5,Database!$F$4:$F$1048576,$I$6),0))))</f>
        <v>0</v>
      </c>
      <c r="D24" s="23">
        <f>IF($I$6="ALL",COUNTIFS(Database!$B$4:$B$1048576,$I$4,Database!$U$4:$U$1048576,"=3",Database!$D$4:$D$1048576,$I$5),IF($I$6="Apotek",COUNTIFS(Database!$B$4:$B$1048576,$I$4,Database!$U$4:$U$1048576,"=3",Database!$D$4:$D$1048576,$I$5,Database!$F$4:$F$1048576,$I$6),IF($I$6="Rumah sakit",COUNTIFS(Database!$B$4:$B$1048576,$I$4,Database!$U$4:$U$1048576,"=3",Database!$D$4:$D$1048576,$I$5,Database!$F$4:$F$1048576,$I$6),IF($I$6="Subdis",COUNTIFS(Database!$B$4:$B$1048576,$I$4,Database!$U$4:$U$1048576,"=3",Database!$D$4:$D$1048576,$I$5,Database!$F$4:$F$1048576,$I$6),0))))</f>
        <v>0</v>
      </c>
      <c r="E24" s="23">
        <f>IF($I$6="ALL",COUNTIFS(Database!$B$4:$B$1048576,$I$4,Database!$U$4:$U$1048576,"=4",Database!$D$4:$D$1048576,$I$5),IF($I$6="Apotek",COUNTIFS(Database!$B$4:$B$1048576,$I$4,Database!$U$4:$U$1048576,"=4",Database!$D$4:$D$1048576,$I$5,Database!$F$4:$F$1048576,$I$6),IF($I$6="Rumah sakit",COUNTIFS(Database!$B$4:$B$1048576,$I$4,Database!$U$4:$U$1048576,"=4",Database!$D$4:$D$1048576,$I$5,Database!$F$4:$F$1048576,$I$6),IF($I$6="Subdis",COUNTIFS(Database!$B$4:$B$1048576,$I$4,Database!$U$4:$U$1048576,"=4",Database!$D$4:$D$1048576,$I$5,Database!$F$4:$F$1048576,$I$6),0))))</f>
        <v>0</v>
      </c>
      <c r="F24" s="9">
        <f t="shared" si="0"/>
        <v>0</v>
      </c>
      <c r="G24" s="10" t="e">
        <f t="shared" si="10"/>
        <v>#DIV/0!</v>
      </c>
      <c r="H24" s="23">
        <f>IF($I$6="ALL",COUNTIFS(Database!$AC$4:$AC$1048576,$I$4,Database!$AV$4:$AV$1048576,"=1",Database!$AE$4:$AE$1048576,$I$5),IF($I$6="Apotek",COUNTIFS(Database!$AC$4:$AC$1048576,$I$4,Database!$AV$4:$AV$1048576,"=1",Database!$AE$4:$AE$1048576,$I$5,Database!$AG$4:$AG$1048576,$I$6),IF($I$6="Rumah sakit",COUNTIFS(Database!$AC$4:$AC$1048576,$I$4,Database!$AV$4:$AV$1048576,"=1",Database!$AE$4:$AE$1048576,$I$5,Database!$AG$4:$AG$1048576,$I$6),IF($I$6="Subdis",COUNTIFS(Database!$AC$4:$AC$1048576,$I$4,Database!$AV$4:$AV$1048576,"=1",Database!$AE$4:$AE$1048576,$I$5,Database!$AG$4:$AG$1048576,$I$6),0))))</f>
        <v>0</v>
      </c>
      <c r="I24" s="23">
        <f>IF($I$6="ALL",COUNTIFS(Database!$AC$4:$AC$1048576,$I$4,Database!$AV$4:$AV$1048576,"=2",Database!$AE$4:$AE$1048576,$I$5),IF($I$6="Apotek",COUNTIFS(Database!$AC$4:$AC$1048576,$I$4,Database!$AV$4:$AV$1048576,"=2",Database!$AE$4:$AE$1048576,$I$5,Database!$AG$4:$AG$1048576,$I$6),IF($I$6="Rumah sakit",COUNTIFS(Database!$AC$4:$AC$1048576,$I$4,Database!$AV$4:$AV$1048576,"=2",Database!$AE$4:$AE$1048576,$I$5,Database!$AG$4:$AG$1048576,$I$6),IF($I$6="Subdis",COUNTIFS(Database!$AC$4:$AC$1048576,$I$4,Database!$AV$4:$AV$1048576,"=2",Database!$AE$4:$AE$1048576,$I$5,Database!$AG$4:$AG$1048576,$I$6),0))))</f>
        <v>0</v>
      </c>
      <c r="J24" s="23">
        <f>IF($I$6="ALL",COUNTIFS(Database!$AC$4:$AC$1048576,$I$4,Database!$AV$4:$AV$1048576,"=3",Database!$AE$4:$AE$1048576,$I$5),IF($I$6="Apotek",COUNTIFS(Database!$AC$4:$AC$1048576,$I$4,Database!$AV$4:$AV$1048576,"=3",Database!$AE$4:$AE$1048576,$I$5,Database!$AG$4:$AG$1048576,$I$6),IF($I$6="Rumah sakit",COUNTIFS(Database!$AC$4:$AC$1048576,$I$4,Database!$AV$4:$AV$1048576,"=3",Database!$AE$4:$AE$1048576,$I$5,Database!$AG$4:$AG$1048576,$I$6),IF($I$6="Subdis",COUNTIFS(Database!$AC$4:$AC$1048576,$I$4,Database!$AV$4:$AV$1048576,"=3",Database!$AE$4:$AE$1048576,$I$5,Database!$AG$4:$AG$1048576,$I$6),0))))</f>
        <v>0</v>
      </c>
      <c r="K24" s="23">
        <f>IF($I$6="ALL",COUNTIFS(Database!$AC$4:$AC$1048576,$I$4,Database!$AV$4:$AV$1048576,"=4",Database!$AE$4:$AE$1048576,$I$5),IF($I$6="Apotek",COUNTIFS(Database!$AC$4:$AC$1048576,$I$4,Database!$AV$4:$AV$1048576,"=4",Database!$AE$4:$AE$1048576,$I$5,Database!$AG$4:$AG$1048576,$I$6),IF($I$6="Rumah sakit",COUNTIFS(Database!$AC$4:$AC$1048576,$I$4,Database!$AV$4:$AV$1048576,"=4",Database!$AE$4:$AE$1048576,$I$5,Database!$AG$4:$AG$1048576,$I$6),IF($I$6="Subdis",COUNTIFS(Database!$AC$4:$AC$1048576,$I$4,Database!$AV$4:$AV$1048576,"=4",Database!$AE$4:$AE$1048576,$I$5,Database!$AG$4:$AG$1048576,$I$6),0))))</f>
        <v>0</v>
      </c>
      <c r="L24" s="9">
        <f t="shared" si="1"/>
        <v>0</v>
      </c>
      <c r="M24" s="10" t="e">
        <f>L24/(K24+J24+I24+H24)</f>
        <v>#DIV/0!</v>
      </c>
      <c r="N24" s="10" t="e">
        <f t="shared" si="3"/>
        <v>#DIV/0!</v>
      </c>
      <c r="O24" s="32" t="e">
        <f t="shared" si="4"/>
        <v>#DIV/0!</v>
      </c>
      <c r="P24" s="11" t="s">
        <v>59</v>
      </c>
      <c r="Q24" s="32" t="e">
        <f>RANK(O24,$O$24:$O$29)</f>
        <v>#DIV/0!</v>
      </c>
      <c r="R24" s="81" t="e">
        <f t="shared" si="6"/>
        <v>#DIV/0!</v>
      </c>
      <c r="S24" s="81" t="e">
        <f t="shared" si="7"/>
        <v>#DIV/0!</v>
      </c>
      <c r="T24" s="81" t="e">
        <f>RANK(G24,$G$24:$G$29)</f>
        <v>#DIV/0!</v>
      </c>
      <c r="U24" s="81" t="e">
        <f>RANK(M24,$M$24:$M$29)</f>
        <v>#DIV/0!</v>
      </c>
      <c r="V24" s="253" t="s">
        <v>185</v>
      </c>
    </row>
    <row r="25" spans="1:22" ht="18" x14ac:dyDescent="0.35">
      <c r="A25" s="9" t="s">
        <v>29</v>
      </c>
      <c r="B25" s="23">
        <f>IF($I$6="ALL",COUNTIFS(Database!$B$4:$B$1048576,$I$4,Database!$V$4:$V$1048576,"=1",Database!$D$4:$D$1048576,$I$5),IF($I$6="Apotek",COUNTIFS(Database!$B$4:$B$1048576,$I$4,Database!$V$4:$V$1048576,"=1",Database!$D$4:$D$1048576,$I$5,Database!$F$4:$F$1048576,$I$6),IF($I$6="Rumah sakit",COUNTIFS(Database!$B$4:$B$1048576,$I$4,Database!$V$4:$V$1048576,"=1",Database!$D$4:$D$1048576,$I$5,Database!$F$4:$F$1048576,$I$6),IF($I$6="Subdis",COUNTIFS(Database!$B$4:$B$1048576,$I$4,Database!$V$4:$V$1048576,"=1",Database!$D$4:$D$1048576,$I$5,Database!$F$4:$F$1048576,$I$6),0))))</f>
        <v>0</v>
      </c>
      <c r="C25" s="23">
        <f>IF($I$6="ALL",COUNTIFS(Database!$B$4:$B$1048576,$I$4,Database!$V$4:$V$1048576,"=2",Database!$D$4:$D$1048576,$I$5),IF($I$6="Apotek",COUNTIFS(Database!$B$4:$B$1048576,$I$4,Database!$V$4:$V$1048576,"=2",Database!$D$4:$D$1048576,$I$5,Database!$F$4:$F$1048576,$I$6),IF($I$6="Rumah sakit",COUNTIFS(Database!$B$4:$B$1048576,$I$4,Database!$V$4:$V$1048576,"=2",Database!$D$4:$D$1048576,$I$5,Database!$F$4:$F$1048576,$I$6),IF($I$6="Subdis",COUNTIFS(Database!$B$4:$B$1048576,$I$4,Database!$V$4:$V$1048576,"=2",Database!$D$4:$D$1048576,$I$5,Database!$F$4:$F$1048576,$I$6),0))))</f>
        <v>0</v>
      </c>
      <c r="D25" s="23">
        <f>IF($I$6="ALL",COUNTIFS(Database!$B$4:$B$1048576,$I$4,Database!$V$4:$V$1048576,"=3",Database!$D$4:$D$1048576,$I$5),IF($I$6="Apotek",COUNTIFS(Database!$B$4:$B$1048576,$I$4,Database!$V$4:$V$1048576,"=3",Database!$D$4:$D$1048576,$I$5,Database!$F$4:$F$1048576,$I$6),IF($I$6="Rumah sakit",COUNTIFS(Database!$B$4:$B$1048576,$I$4,Database!$V$4:$V$1048576,"=3",Database!$D$4:$D$1048576,$I$5,Database!$F$4:$F$1048576,$I$6),IF($I$6="Subdis",COUNTIFS(Database!$B$4:$B$1048576,$I$4,Database!$V$4:$V$1048576,"=3",Database!$D$4:$D$1048576,$I$5,Database!$F$4:$F$1048576,$I$6),0))))</f>
        <v>0</v>
      </c>
      <c r="E25" s="23">
        <f>IF($I$6="ALL",COUNTIFS(Database!$B$4:$B$1048576,$I$4,Database!$V$4:$V$1048576,"=4",Database!$D$4:$D$1048576,$I$5),IF($I$6="Apotek",COUNTIFS(Database!$B$4:$B$1048576,$I$4,Database!$V$4:$V$1048576,"=4",Database!$D$4:$D$1048576,$I$5,Database!$F$4:$F$1048576,$I$6),IF($I$6="Rumah sakit",COUNTIFS(Database!$B$4:$B$1048576,$I$4,Database!$V$4:$V$1048576,"=4",Database!$D$4:$D$1048576,$I$5,Database!$F$4:$F$1048576,$I$6),IF($I$6="Subdis",COUNTIFS(Database!$B$4:$B$1048576,$I$4,Database!$V$4:$V$1048576,"=4",Database!$D$4:$D$1048576,$I$5,Database!$F$4:$F$1048576,$I$6),0))))</f>
        <v>0</v>
      </c>
      <c r="F25" s="9">
        <f t="shared" si="0"/>
        <v>0</v>
      </c>
      <c r="G25" s="10" t="e">
        <f t="shared" si="10"/>
        <v>#DIV/0!</v>
      </c>
      <c r="H25" s="23">
        <f>IF($I$6="ALL",COUNTIFS(Database!$AC$4:$AC$1048576,$I$4,Database!$AW$4:$AW$1048576,"=1",Database!$AE$4:$AE$1048576,$I$5),IF($I$6="Apotek",COUNTIFS(Database!$AC$4:$AC$1048576,$I$4,Database!$AW$4:$AW$1048576,"=1",Database!$AE$4:$AE$1048576,$I$5,Database!$AG$4:$AG$1048576,$I$6),IF($I$6="Rumah sakit",COUNTIFS(Database!$AC$4:$AC$1048576,$I$4,Database!$AW$4:$AW$1048576,"=1",Database!$AE$4:$AE$1048576,$I$5,Database!$AG$4:$AG$1048576,$I$6),IF($I$6="Subdis",COUNTIFS(Database!$AC$4:$AC$1048576,$I$4,Database!$AW$4:$AW$1048576,"=1",Database!$AE$4:$AE$1048576,$I$5,Database!$AG$4:$AG$1048576,$I$6),0))))</f>
        <v>0</v>
      </c>
      <c r="I25" s="23">
        <f>IF($I$6="ALL",COUNTIFS(Database!$AC$4:$AC$1048576,$I$4,Database!$AW$4:$AW$1048576,"=2",Database!$AE$4:$AE$1048576,$I$5),IF($I$6="Apotek",COUNTIFS(Database!$AC$4:$AC$1048576,$I$4,Database!$AW$4:$AW$1048576,"=2",Database!$AE$4:$AE$1048576,$I$5,Database!$AG$4:$AG$1048576,$I$6),IF($I$6="Rumah sakit",COUNTIFS(Database!$AC$4:$AC$1048576,$I$4,Database!$AW$4:$AW$1048576,"=2",Database!$AE$4:$AE$1048576,$I$5,Database!$AG$4:$AG$1048576,$I$6),IF($I$6="Subdis",COUNTIFS(Database!$AC$4:$AC$1048576,$I$4,Database!$AW$4:$AW$1048576,"=2",Database!$AE$4:$AE$1048576,$I$5,Database!$AG$4:$AG$1048576,$I$6),0))))</f>
        <v>0</v>
      </c>
      <c r="J25" s="23">
        <f>IF($I$6="ALL",COUNTIFS(Database!$AC$4:$AC$1048576,$I$4,Database!$AW$4:$AW$1048576,"=3",Database!$AE$4:$AE$1048576,$I$5),IF($I$6="Apotek",COUNTIFS(Database!$AC$4:$AC$1048576,$I$4,Database!$AW$4:$AW$1048576,"=3",Database!$AE$4:$AE$1048576,$I$5,Database!$AG$4:$AG$1048576,$I$6),IF($I$6="Rumah sakit",COUNTIFS(Database!$AC$4:$AC$1048576,$I$4,Database!$AW$4:$AW$1048576,"=3",Database!$AE$4:$AE$1048576,$I$5,Database!$AG$4:$AG$1048576,$I$6),IF($I$6="Subdis",COUNTIFS(Database!$AC$4:$AC$1048576,$I$4,Database!$AW$4:$AW$1048576,"=3",Database!$AE$4:$AE$1048576,$I$5,Database!$AG$4:$AG$1048576,$I$6),0))))</f>
        <v>0</v>
      </c>
      <c r="K25" s="23">
        <f>IF($I$6="ALL",COUNTIFS(Database!$AC$4:$AC$1048576,$I$4,Database!$AW$4:$AW$1048576,"=4",Database!$AE$4:$AE$1048576,$I$5),IF($I$6="Apotek",COUNTIFS(Database!$AC$4:$AC$1048576,$I$4,Database!$AW$4:$AW$1048576,"=4",Database!$AE$4:$AE$1048576,$I$5,Database!$AG$4:$AG$1048576,$I$6),IF($I$6="Rumah sakit",COUNTIFS(Database!$AC$4:$AC$1048576,$I$4,Database!$AW$4:$AW$1048576,"=4",Database!$AE$4:$AE$1048576,$I$5,Database!$AG$4:$AG$1048576,$I$6),IF($I$6="Subdis",COUNTIFS(Database!$AC$4:$AC$1048576,$I$4,Database!$AW$4:$AW$1048576,"=4",Database!$AE$4:$AE$1048576,$I$5,Database!$AG$4:$AG$1048576,$I$6),0))))</f>
        <v>0</v>
      </c>
      <c r="L25" s="9">
        <f t="shared" si="1"/>
        <v>0</v>
      </c>
      <c r="M25" s="10" t="e">
        <f t="shared" si="2"/>
        <v>#DIV/0!</v>
      </c>
      <c r="N25" s="10" t="e">
        <f t="shared" si="3"/>
        <v>#DIV/0!</v>
      </c>
      <c r="O25" s="32" t="e">
        <f t="shared" si="4"/>
        <v>#DIV/0!</v>
      </c>
      <c r="P25" s="11" t="s">
        <v>60</v>
      </c>
      <c r="Q25" s="32" t="e">
        <f t="shared" ref="Q25:Q29" si="17">RANK(O25,$O$24:$O$29)</f>
        <v>#DIV/0!</v>
      </c>
      <c r="R25" s="81" t="e">
        <f t="shared" si="6"/>
        <v>#DIV/0!</v>
      </c>
      <c r="S25" s="81" t="e">
        <f t="shared" si="7"/>
        <v>#DIV/0!</v>
      </c>
      <c r="T25" s="81" t="e">
        <f t="shared" ref="T25:T29" si="18">RANK(G25,$G$24:$G$29)</f>
        <v>#DIV/0!</v>
      </c>
      <c r="U25" s="81" t="e">
        <f t="shared" ref="U25:U29" si="19">RANK(M25,$M$24:$M$29)</f>
        <v>#DIV/0!</v>
      </c>
      <c r="V25" s="253"/>
    </row>
    <row r="26" spans="1:22" ht="18" x14ac:dyDescent="0.35">
      <c r="A26" s="9" t="s">
        <v>30</v>
      </c>
      <c r="B26" s="23">
        <f>IF($I$6="ALL",COUNTIFS(Database!$B$4:$B$1048576,$I$4,Database!$W$4:$W$1048576,"=1",Database!$D$4:$D$1048576,$I$5),IF($I$6="Apotek",COUNTIFS(Database!$B$4:$B$1048576,$I$4,Database!$W$4:$W$1048576,"=1",Database!$D$4:$D$1048576,$I$5,Database!$F$4:$F$1048576,$I$6),IF($I$6="Rumah sakit",COUNTIFS(Database!$B$4:$B$1048576,$I$4,Database!$W$4:$W$1048576,"=1",Database!$D$4:$D$1048576,$I$5,Database!$F$4:$F$1048576,$I$6),IF($I$6="Subdis",COUNTIFS(Database!$B$4:$B$1048576,$I$4,Database!$W$4:$W$1048576,"=1",Database!$D$4:$D$1048576,$I$5,Database!$F$4:$F$1048576,$I$6),0))))</f>
        <v>0</v>
      </c>
      <c r="C26" s="23">
        <f>IF($I$6="ALL",COUNTIFS(Database!$B$4:$B$1048576,$I$4,Database!$W$4:$W$1048576,"=2",Database!$D$4:$D$1048576,$I$5),IF($I$6="Apotek",COUNTIFS(Database!$B$4:$B$1048576,$I$4,Database!$W$4:$W$1048576,"=2",Database!$D$4:$D$1048576,$I$5,Database!$F$4:$F$1048576,$I$6),IF($I$6="Rumah sakit",COUNTIFS(Database!$B$4:$B$1048576,$I$4,Database!$W$4:$W$1048576,"=2",Database!$D$4:$D$1048576,$I$5,Database!$F$4:$F$1048576,$I$6),IF($I$6="Subdis",COUNTIFS(Database!$B$4:$B$1048576,$I$4,Database!$W$4:$W$1048576,"=2",Database!$D$4:$D$1048576,$I$5,Database!$F$4:$F$1048576,$I$6),0))))</f>
        <v>0</v>
      </c>
      <c r="D26" s="23">
        <f>IF($I$6="ALL",COUNTIFS(Database!$B$4:$B$1048576,$I$4,Database!$W$4:$W$1048576,"=3",Database!$D$4:$D$1048576,$I$5),IF($I$6="Apotek",COUNTIFS(Database!$B$4:$B$1048576,$I$4,Database!$W$4:$W$1048576,"=3",Database!$D$4:$D$1048576,$I$5,Database!$F$4:$F$1048576,$I$6),IF($I$6="Rumah sakit",COUNTIFS(Database!$B$4:$B$1048576,$I$4,Database!$W$4:$W$1048576,"=3",Database!$D$4:$D$1048576,$I$5,Database!$F$4:$F$1048576,$I$6),IF($I$6="Subdis",COUNTIFS(Database!$B$4:$B$1048576,$I$4,Database!$W$4:$W$1048576,"=3",Database!$D$4:$D$1048576,$I$5,Database!$F$4:$F$1048576,$I$6),0))))</f>
        <v>0</v>
      </c>
      <c r="E26" s="23">
        <f>IF($I$6="ALL",COUNTIFS(Database!$B$4:$B$1048576,$I$4,Database!$W$4:$W$1048576,"=4",Database!$D$4:$D$1048576,$I$5),IF($I$6="Apotek",COUNTIFS(Database!$B$4:$B$1048576,$I$4,Database!$W$4:$W$1048576,"=4",Database!$D$4:$D$1048576,$I$5,Database!$F$4:$F$1048576,$I$6),IF($I$6="Rumah sakit",COUNTIFS(Database!$B$4:$B$1048576,$I$4,Database!$W$4:$W$1048576,"=4",Database!$D$4:$D$1048576,$I$5,Database!$F$4:$F$1048576,$I$6),IF($I$6="Subdis",COUNTIFS(Database!$B$4:$B$1048576,$I$4,Database!$W$4:$W$1048576,"=4",Database!$D$4:$D$1048576,$I$5,Database!$F$4:$F$1048576,$I$6),0))))</f>
        <v>0</v>
      </c>
      <c r="F26" s="9">
        <f t="shared" si="0"/>
        <v>0</v>
      </c>
      <c r="G26" s="10" t="e">
        <f t="shared" si="10"/>
        <v>#DIV/0!</v>
      </c>
      <c r="H26" s="23">
        <f>IF($I$6="ALL",COUNTIFS(Database!$AC$4:$AC$1048576,$I$4,Database!$AX$4:$AX$1048576,"=1",Database!$AE$4:$AE$1048576,$I$5),IF($I$6="Apotek",COUNTIFS(Database!$AC$4:$AC$1048576,$I$4,Database!$AX$4:$AX$1048576,"=1",Database!$AE$4:$AE$1048576,$I$5,Database!$AG$4:$AG$1048576,$I$6),IF($I$6="Rumah sakit",COUNTIFS(Database!$AC$4:$AC$1048576,$I$4,Database!$AX$4:$AX$1048576,"=1",Database!$AE$4:$AE$1048576,$I$5,Database!$AG$4:$AG$1048576,$I$6),IF($I$6="Subdis",COUNTIFS(Database!$AC$4:$AC$1048576,$I$4,Database!$AX$4:$AX$1048576,"=1",Database!$AE$4:$AE$1048576,$I$5,Database!$AG$4:$AG$1048576,$I$6),0))))</f>
        <v>0</v>
      </c>
      <c r="I26" s="23">
        <f>IF($I$6="ALL",COUNTIFS(Database!$AC$4:$AC$1048576,$I$4,Database!$AX$4:$AX$1048576,"=2",Database!$AE$4:$AE$1048576,$I$5),IF($I$6="Apotek",COUNTIFS(Database!$AC$4:$AC$1048576,$I$4,Database!$AX$4:$AX$1048576,"=2",Database!$AE$4:$AE$1048576,$I$5,Database!$AG$4:$AG$1048576,$I$6),IF($I$6="Rumah sakit",COUNTIFS(Database!$AC$4:$AC$1048576,$I$4,Database!$AX$4:$AX$1048576,"=2",Database!$AE$4:$AE$1048576,$I$5,Database!$AG$4:$AG$1048576,$I$6),IF($I$6="Subdis",COUNTIFS(Database!$AC$4:$AC$1048576,$I$4,Database!$AX$4:$AX$1048576,"=2",Database!$AE$4:$AE$1048576,$I$5,Database!$AG$4:$AG$1048576,$I$6),0))))</f>
        <v>0</v>
      </c>
      <c r="J26" s="23">
        <f>IF($I$6="ALL",COUNTIFS(Database!$AC$4:$AC$1048576,$I$4,Database!$AX$4:$AX$1048576,"=3",Database!$AE$4:$AE$1048576,$I$5),IF($I$6="Apotek",COUNTIFS(Database!$AC$4:$AC$1048576,$I$4,Database!$AX$4:$AX$1048576,"=3",Database!$AE$4:$AE$1048576,$I$5,Database!$AG$4:$AG$1048576,$I$6),IF($I$6="Rumah sakit",COUNTIFS(Database!$AC$4:$AC$1048576,$I$4,Database!$AX$4:$AX$1048576,"=3",Database!$AE$4:$AE$1048576,$I$5,Database!$AG$4:$AG$1048576,$I$6),IF($I$6="Subdis",COUNTIFS(Database!$AC$4:$AC$1048576,$I$4,Database!$AX$4:$AX$1048576,"=3",Database!$AE$4:$AE$1048576,$I$5,Database!$AG$4:$AG$1048576,$I$6),0))))</f>
        <v>0</v>
      </c>
      <c r="K26" s="23">
        <f>IF($I$6="ALL",COUNTIFS(Database!$AC$4:$AC$1048576,$I$4,Database!$AX$4:$AX$1048576,"=4",Database!$AE$4:$AE$1048576,$I$5),IF($I$6="Apotek",COUNTIFS(Database!$AC$4:$AC$1048576,$I$4,Database!$AX$4:$AX$1048576,"=4",Database!$AE$4:$AE$1048576,$I$5,Database!$AG$4:$AG$1048576,$I$6),IF($I$6="Rumah sakit",COUNTIFS(Database!$AC$4:$AC$1048576,$I$4,Database!$AX$4:$AX$1048576,"=4",Database!$AE$4:$AE$1048576,$I$5,Database!$AG$4:$AG$1048576,$I$6),IF($I$6="Subdis",COUNTIFS(Database!$AC$4:$AC$1048576,$I$4,Database!$AX$4:$AX$1048576,"=4",Database!$AE$4:$AE$1048576,$I$5,Database!$AG$4:$AG$1048576,$I$6),0))))</f>
        <v>0</v>
      </c>
      <c r="L26" s="9">
        <f t="shared" si="1"/>
        <v>0</v>
      </c>
      <c r="M26" s="10" t="e">
        <f t="shared" si="2"/>
        <v>#DIV/0!</v>
      </c>
      <c r="N26" s="10" t="e">
        <f t="shared" si="3"/>
        <v>#DIV/0!</v>
      </c>
      <c r="O26" s="32" t="e">
        <f t="shared" si="4"/>
        <v>#DIV/0!</v>
      </c>
      <c r="P26" s="11" t="s">
        <v>7</v>
      </c>
      <c r="Q26" s="32" t="e">
        <f t="shared" si="17"/>
        <v>#DIV/0!</v>
      </c>
      <c r="R26" s="81" t="e">
        <f t="shared" si="6"/>
        <v>#DIV/0!</v>
      </c>
      <c r="S26" s="81" t="e">
        <f t="shared" si="7"/>
        <v>#DIV/0!</v>
      </c>
      <c r="T26" s="81" t="e">
        <f t="shared" si="18"/>
        <v>#DIV/0!</v>
      </c>
      <c r="U26" s="81" t="e">
        <f t="shared" si="19"/>
        <v>#DIV/0!</v>
      </c>
      <c r="V26" s="253"/>
    </row>
    <row r="27" spans="1:22" ht="18" x14ac:dyDescent="0.35">
      <c r="A27" s="9" t="s">
        <v>31</v>
      </c>
      <c r="B27" s="23">
        <f>IF($I$6="ALL",COUNTIFS(Database!$B$4:$B$1048576,$I$4,Database!$X$4:$X$1048576,"=1",Database!$D$4:$D$1048576,$I$5),IF($I$6="Apotek",COUNTIFS(Database!$B$4:$B$1048576,$I$4,Database!$X$4:$X$1048576,"=1",Database!$D$4:$D$1048576,$I$5,Database!$F$4:$F$1048576,$I$6),IF($I$6="Rumah sakit",COUNTIFS(Database!$B$4:$B$1048576,$I$4,Database!$X$4:$X$1048576,"=1",Database!$D$4:$D$1048576,$I$5,Database!$F$4:$F$1048576,$I$6),IF($I$6="Subdis",COUNTIFS(Database!$B$4:$B$1048576,$I$4,Database!$X$4:$X$1048576,"=1",Database!$D$4:$D$1048576,$I$5,Database!$F$4:$F$1048576,$I$6),0))))</f>
        <v>0</v>
      </c>
      <c r="C27" s="23">
        <f>IF($I$6="ALL",COUNTIFS(Database!$B$4:$B$1048576,$I$4,Database!$X$4:$X$1048576,"=2",Database!$D$4:$D$1048576,$I$5),IF($I$6="Apotek",COUNTIFS(Database!$B$4:$B$1048576,$I$4,Database!$X$4:$X$1048576,"=2",Database!$D$4:$D$1048576,$I$5,Database!$F$4:$F$1048576,$I$6),IF($I$6="Rumah sakit",COUNTIFS(Database!$B$4:$B$1048576,$I$4,Database!$X$4:$X$1048576,"=2",Database!$D$4:$D$1048576,$I$5,Database!$F$4:$F$1048576,$I$6),IF($I$6="Subdis",COUNTIFS(Database!$B$4:$B$1048576,$I$4,Database!$X$4:$X$1048576,"=2",Database!$D$4:$D$1048576,$I$5,Database!$F$4:$F$1048576,$I$6),0))))</f>
        <v>0</v>
      </c>
      <c r="D27" s="23">
        <f>IF($I$6="ALL",COUNTIFS(Database!$B$4:$B$1048576,$I$4,Database!$X$4:$X$1048576,"=3",Database!$D$4:$D$1048576,$I$5),IF($I$6="Apotek",COUNTIFS(Database!$B$4:$B$1048576,$I$4,Database!$X$4:$X$1048576,"=3",Database!$D$4:$D$1048576,$I$5,Database!$F$4:$F$1048576,$I$6),IF($I$6="Rumah sakit",COUNTIFS(Database!$B$4:$B$1048576,$I$4,Database!$X$4:$X$1048576,"=3",Database!$D$4:$D$1048576,$I$5,Database!$F$4:$F$1048576,$I$6),IF($I$6="Subdis",COUNTIFS(Database!$B$4:$B$1048576,$I$4,Database!$X$4:$X$1048576,"=3",Database!$D$4:$D$1048576,$I$5,Database!$F$4:$F$1048576,$I$6),0))))</f>
        <v>0</v>
      </c>
      <c r="E27" s="23">
        <f>IF($I$6="ALL",COUNTIFS(Database!$B$4:$B$1048576,$I$4,Database!$X$4:$X$1048576,"=4",Database!$D$4:$D$1048576,$I$5),IF($I$6="Apotek",COUNTIFS(Database!$B$4:$B$1048576,$I$4,Database!$X$4:$X$1048576,"=4",Database!$D$4:$D$1048576,$I$5,Database!$F$4:$F$1048576,$I$6),IF($I$6="Rumah sakit",COUNTIFS(Database!$B$4:$B$1048576,$I$4,Database!$X$4:$X$1048576,"=4",Database!$D$4:$D$1048576,$I$5,Database!$F$4:$F$1048576,$I$6),IF($I$6="Subdis",COUNTIFS(Database!$B$4:$B$1048576,$I$4,Database!$X$4:$X$1048576,"=4",Database!$D$4:$D$1048576,$I$5,Database!$F$4:$F$1048576,$I$6),0))))</f>
        <v>0</v>
      </c>
      <c r="F27" s="9">
        <f t="shared" si="0"/>
        <v>0</v>
      </c>
      <c r="G27" s="10" t="e">
        <f t="shared" si="10"/>
        <v>#DIV/0!</v>
      </c>
      <c r="H27" s="23">
        <f>IF($I$6="ALL",COUNTIFS(Database!$AC$4:$AC$1048576,$I$4,Database!$AY$4:$AY$1048576,"=1",Database!$AE$4:$AE$1048576,$I$5),IF($I$6="Apotek",COUNTIFS(Database!$AC$4:$AC$1048576,$I$4,Database!$AY$4:$AY$1048576,"=1",Database!$AE$4:$AE$1048576,$I$5,Database!$AG$4:$AG$1048576,$I$6),IF($I$6="Rumah sakit",COUNTIFS(Database!$AC$4:$AC$1048576,$I$4,Database!$AY$4:$AY$1048576,"=1",Database!$AE$4:$AE$1048576,$I$5,Database!$AG$4:$AG$1048576,$I$6),IF($I$6="Subdis",COUNTIFS(Database!$AC$4:$AC$1048576,$I$4,Database!$AY$4:$AY$1048576,"=1",Database!$AE$4:$AE$1048576,$I$5,Database!$AG$4:$AG$1048576,$I$6),0))))</f>
        <v>0</v>
      </c>
      <c r="I27" s="23">
        <f>IF($I$6="ALL",COUNTIFS(Database!$AC$4:$AC$1048576,$I$4,Database!$AY$4:$AY$1048576,"=2",Database!$AE$4:$AE$1048576,$I$5),IF($I$6="Apotek",COUNTIFS(Database!$AC$4:$AC$1048576,$I$4,Database!$AY$4:$AY$1048576,"=2",Database!$AE$4:$AE$1048576,$I$5,Database!$AG$4:$AG$1048576,$I$6),IF($I$6="Rumah sakit",COUNTIFS(Database!$AC$4:$AC$1048576,$I$4,Database!$AY$4:$AY$1048576,"=2",Database!$AE$4:$AE$1048576,$I$5,Database!$AG$4:$AG$1048576,$I$6),IF($I$6="Subdis",COUNTIFS(Database!$AC$4:$AC$1048576,$I$4,Database!$AY$4:$AY$1048576,"=2",Database!$AE$4:$AE$1048576,$I$5,Database!$AG$4:$AG$1048576,$I$6),0))))</f>
        <v>0</v>
      </c>
      <c r="J27" s="23">
        <f>IF($I$6="ALL",COUNTIFS(Database!$AC$4:$AC$1048576,$I$4,Database!$AY$4:$AY$1048576,"=3",Database!$AE$4:$AE$1048576,$I$5),IF($I$6="Apotek",COUNTIFS(Database!$AC$4:$AC$1048576,$I$4,Database!$AY$4:$AY$1048576,"=3",Database!$AE$4:$AE$1048576,$I$5,Database!$AG$4:$AG$1048576,$I$6),IF($I$6="Rumah sakit",COUNTIFS(Database!$AC$4:$AC$1048576,$I$4,Database!$AY$4:$AY$1048576,"=3",Database!$AE$4:$AE$1048576,$I$5,Database!$AG$4:$AG$1048576,$I$6),IF($I$6="Subdis",COUNTIFS(Database!$AC$4:$AC$1048576,$I$4,Database!$AY$4:$AY$1048576,"=3",Database!$AE$4:$AE$1048576,$I$5,Database!$AG$4:$AG$1048576,$I$6),0))))</f>
        <v>0</v>
      </c>
      <c r="K27" s="23">
        <f>IF($I$6="ALL",COUNTIFS(Database!$AC$4:$AC$1048576,$I$4,Database!$AY$4:$AY$1048576,"=4",Database!$AE$4:$AE$1048576,$I$5),IF($I$6="Apotek",COUNTIFS(Database!$AC$4:$AC$1048576,$I$4,Database!$AY$4:$AY$1048576,"=4",Database!$AE$4:$AE$1048576,$I$5,Database!$AG$4:$AG$1048576,$I$6),IF($I$6="Rumah sakit",COUNTIFS(Database!$AC$4:$AC$1048576,$I$4,Database!$AY$4:$AY$1048576,"=4",Database!$AE$4:$AE$1048576,$I$5,Database!$AG$4:$AG$1048576,$I$6),IF($I$6="Subdis",COUNTIFS(Database!$AC$4:$AC$1048576,$I$4,Database!$AY$4:$AY$1048576,"=4",Database!$AE$4:$AE$1048576,$I$5,Database!$AG$4:$AG$1048576,$I$6),0))))</f>
        <v>0</v>
      </c>
      <c r="L27" s="9">
        <f t="shared" si="1"/>
        <v>0</v>
      </c>
      <c r="M27" s="10" t="e">
        <f t="shared" si="2"/>
        <v>#DIV/0!</v>
      </c>
      <c r="N27" s="10" t="e">
        <f t="shared" si="3"/>
        <v>#DIV/0!</v>
      </c>
      <c r="O27" s="32" t="e">
        <f t="shared" si="4"/>
        <v>#DIV/0!</v>
      </c>
      <c r="P27" s="11" t="s">
        <v>61</v>
      </c>
      <c r="Q27" s="32" t="e">
        <f t="shared" si="17"/>
        <v>#DIV/0!</v>
      </c>
      <c r="R27" s="81" t="e">
        <f t="shared" si="6"/>
        <v>#DIV/0!</v>
      </c>
      <c r="S27" s="81" t="e">
        <f t="shared" si="7"/>
        <v>#DIV/0!</v>
      </c>
      <c r="T27" s="81" t="e">
        <f t="shared" si="18"/>
        <v>#DIV/0!</v>
      </c>
      <c r="U27" s="81" t="e">
        <f t="shared" si="19"/>
        <v>#DIV/0!</v>
      </c>
      <c r="V27" s="253"/>
    </row>
    <row r="28" spans="1:22" ht="18" x14ac:dyDescent="0.35">
      <c r="A28" s="9" t="s">
        <v>32</v>
      </c>
      <c r="B28" s="23">
        <f>IF($I$6="ALL",COUNTIFS(Database!$B$4:$B$1048576,$I$4,Database!$Y$4:$Y$1048576,"=1",Database!$D$4:$D$1048576,$I$5),IF($I$6="Apotek",COUNTIFS(Database!$B$4:$B$1048576,$I$4,Database!$Y$4:$Y$1048576,"=1",Database!$D$4:$D$1048576,$I$5,Database!$F$4:$F$1048576,$I$6),IF($I$6="Rumah sakit",COUNTIFS(Database!$B$4:$B$1048576,$I$4,Database!$Y$4:$Y$1048576,"=1",Database!$D$4:$D$1048576,$I$5,Database!$F$4:$F$1048576,$I$6),IF($I$6="Subdis",COUNTIFS(Database!$B$4:$B$1048576,$I$4,Database!$Y$4:$Y$1048576,"=1",Database!$D$4:$D$1048576,$I$5,Database!$F$4:$F$1048576,$I$6),0))))</f>
        <v>0</v>
      </c>
      <c r="C28" s="23">
        <f>IF($I$6="ALL",COUNTIFS(Database!$B$4:$B$1048576,$I$4,Database!$Y$4:$Y$1048576,"=2",Database!$D$4:$D$1048576,$I$5),IF($I$6="Apotek",COUNTIFS(Database!$B$4:$B$1048576,$I$4,Database!$Y$4:$Y$1048576,"=2",Database!$D$4:$D$1048576,$I$5,Database!$F$4:$F$1048576,$I$6),IF($I$6="Rumah sakit",COUNTIFS(Database!$B$4:$B$1048576,$I$4,Database!$Y$4:$Y$1048576,"=2",Database!$D$4:$D$1048576,$I$5,Database!$F$4:$F$1048576,$I$6),IF($I$6="Subdis",COUNTIFS(Database!$B$4:$B$1048576,$I$4,Database!$Y$4:$Y$1048576,"=2",Database!$D$4:$D$1048576,$I$5,Database!$F$4:$F$1048576,$I$6),0))))</f>
        <v>0</v>
      </c>
      <c r="D28" s="23">
        <f>IF($I$6="ALL",COUNTIFS(Database!$B$4:$B$1048576,$I$4,Database!$Y$4:$Y$1048576,"=3",Database!$D$4:$D$1048576,$I$5),IF($I$6="Apotek",COUNTIFS(Database!$B$4:$B$1048576,$I$4,Database!$Y$4:$Y$1048576,"=3",Database!$D$4:$D$1048576,$I$5,Database!$F$4:$F$1048576,$I$6),IF($I$6="Rumah sakit",COUNTIFS(Database!$B$4:$B$1048576,$I$4,Database!$Y$4:$Y$1048576,"=3",Database!$D$4:$D$1048576,$I$5,Database!$F$4:$F$1048576,$I$6),IF($I$6="Subdis",COUNTIFS(Database!$B$4:$B$1048576,$I$4,Database!$Y$4:$Y$1048576,"=3",Database!$D$4:$D$1048576,$I$5,Database!$F$4:$F$1048576,$I$6),0))))</f>
        <v>0</v>
      </c>
      <c r="E28" s="23">
        <f>IF($I$6="ALL",COUNTIFS(Database!$B$4:$B$1048576,$I$4,Database!$Y$4:$Y$1048576,"=4",Database!$D$4:$D$1048576,$I$5),IF($I$6="Apotek",COUNTIFS(Database!$B$4:$B$1048576,$I$4,Database!$Y$4:$Y$1048576,"=4",Database!$D$4:$D$1048576,$I$5,Database!$F$4:$F$1048576,$I$6),IF($I$6="Rumah sakit",COUNTIFS(Database!$B$4:$B$1048576,$I$4,Database!$Y$4:$Y$1048576,"=4",Database!$D$4:$D$1048576,$I$5,Database!$F$4:$F$1048576,$I$6),IF($I$6="Subdis",COUNTIFS(Database!$B$4:$B$1048576,$I$4,Database!$Y$4:$Y$1048576,"=4",Database!$D$4:$D$1048576,$I$5,Database!$F$4:$F$1048576,$I$6),0))))</f>
        <v>0</v>
      </c>
      <c r="F28" s="9">
        <f t="shared" si="0"/>
        <v>0</v>
      </c>
      <c r="G28" s="10" t="e">
        <f t="shared" si="10"/>
        <v>#DIV/0!</v>
      </c>
      <c r="H28" s="23">
        <f>IF($I$6="ALL",COUNTIFS(Database!$AC$4:$AC$1048576,$I$4,Database!$AZ$4:$AZ$1048576,"=1",Database!$AE$4:$AE$1048576,$I$5),IF($I$6="Apotek",COUNTIFS(Database!$AC$4:$AC$1048576,$I$4,Database!$AZ$4:$AZ$1048576,"=1",Database!$AE$4:$AE$1048576,$I$5,Database!$AG$4:$AG$1048576,$I$6),IF($I$6="Rumah sakit",COUNTIFS(Database!$AC$4:$AC$1048576,$I$4,Database!$AZ$4:$AZ$1048576,"=1",Database!$AE$4:$AE$1048576,$I$5,Database!$AG$4:$AG$1048576,$I$6),IF($I$6="Subdis",COUNTIFS(Database!$AC$4:$AC$1048576,$I$4,Database!$AZ$4:$AZ$1048576,"=1",Database!$AE$4:$AE$1048576,$I$5,Database!$AG$4:$AG$1048576,$I$6),0))))</f>
        <v>0</v>
      </c>
      <c r="I28" s="23">
        <f>IF($I$6="ALL",COUNTIFS(Database!$AC$4:$AC$1048576,$I$4,Database!$AZ$4:$AZ$1048576,"=2",Database!$AE$4:$AE$1048576,$I$5),IF($I$6="Apotek",COUNTIFS(Database!$AC$4:$AC$1048576,$I$4,Database!$AZ$4:$AZ$1048576,"=2",Database!$AE$4:$AE$1048576,$I$5,Database!$AG$4:$AG$1048576,$I$6),IF($I$6="Rumah sakit",COUNTIFS(Database!$AC$4:$AC$1048576,$I$4,Database!$AZ$4:$AZ$1048576,"=2",Database!$AE$4:$AE$1048576,$I$5,Database!$AG$4:$AG$1048576,$I$6),IF($I$6="Subdis",COUNTIFS(Database!$AC$4:$AC$1048576,$I$4,Database!$AZ$4:$AZ$1048576,"=2",Database!$AE$4:$AE$1048576,$I$5,Database!$AG$4:$AG$1048576,$I$6),0))))</f>
        <v>0</v>
      </c>
      <c r="J28" s="23">
        <f>IF($I$6="ALL",COUNTIFS(Database!$AC$4:$AC$1048576,$I$4,Database!$AZ$4:$AZ$1048576,"=3",Database!$AE$4:$AE$1048576,$I$5),IF($I$6="Apotek",COUNTIFS(Database!$AC$4:$AC$1048576,$I$4,Database!$AZ$4:$AZ$1048576,"=3",Database!$AE$4:$AE$1048576,$I$5,Database!$AG$4:$AG$1048576,$I$6),IF($I$6="Rumah sakit",COUNTIFS(Database!$AC$4:$AC$1048576,$I$4,Database!$AZ$4:$AZ$1048576,"=3",Database!$AE$4:$AE$1048576,$I$5,Database!$AG$4:$AG$1048576,$I$6),IF($I$6="Subdis",COUNTIFS(Database!$AC$4:$AC$1048576,$I$4,Database!$AZ$4:$AZ$1048576,"=3",Database!$AE$4:$AE$1048576,$I$5,Database!$AG$4:$AG$1048576,$I$6),0))))</f>
        <v>0</v>
      </c>
      <c r="K28" s="23">
        <f>IF($I$6="ALL",COUNTIFS(Database!$AC$4:$AC$1048576,$I$4,Database!$AZ$4:$AZ$1048576,"=4",Database!$AE$4:$AE$1048576,$I$5),IF($I$6="Apotek",COUNTIFS(Database!$AC$4:$AC$1048576,$I$4,Database!$AZ$4:$AZ$1048576,"=4",Database!$AE$4:$AE$1048576,$I$5,Database!$AG$4:$AG$1048576,$I$6),IF($I$6="Rumah sakit",COUNTIFS(Database!$AC$4:$AC$1048576,$I$4,Database!$AZ$4:$AZ$1048576,"=4",Database!$AE$4:$AE$1048576,$I$5,Database!$AG$4:$AG$1048576,$I$6),IF($I$6="Subdis",COUNTIFS(Database!$AC$4:$AC$1048576,$I$4,Database!$AZ$4:$AZ$1048576,"=4",Database!$AE$4:$AE$1048576,$I$5,Database!$AG$4:$AG$1048576,$I$6),0))))</f>
        <v>0</v>
      </c>
      <c r="L28" s="9">
        <f t="shared" si="1"/>
        <v>0</v>
      </c>
      <c r="M28" s="10" t="e">
        <f t="shared" si="2"/>
        <v>#DIV/0!</v>
      </c>
      <c r="N28" s="10" t="e">
        <f t="shared" si="3"/>
        <v>#DIV/0!</v>
      </c>
      <c r="O28" s="32" t="e">
        <f t="shared" si="4"/>
        <v>#DIV/0!</v>
      </c>
      <c r="P28" s="11" t="s">
        <v>62</v>
      </c>
      <c r="Q28" s="32" t="e">
        <f t="shared" si="17"/>
        <v>#DIV/0!</v>
      </c>
      <c r="R28" s="81" t="e">
        <f t="shared" si="6"/>
        <v>#DIV/0!</v>
      </c>
      <c r="S28" s="81" t="e">
        <f t="shared" si="7"/>
        <v>#DIV/0!</v>
      </c>
      <c r="T28" s="81" t="e">
        <f t="shared" si="18"/>
        <v>#DIV/0!</v>
      </c>
      <c r="U28" s="81" t="e">
        <f t="shared" si="19"/>
        <v>#DIV/0!</v>
      </c>
      <c r="V28" s="253"/>
    </row>
    <row r="29" spans="1:22" ht="18" x14ac:dyDescent="0.35">
      <c r="A29" s="9" t="s">
        <v>33</v>
      </c>
      <c r="B29" s="23">
        <f>IF($I$6="ALL",COUNTIFS(Database!$B$4:$B$1048576,$I$4,Database!$Z$4:$Z$1048576,"=1",Database!$D$4:$D$1048576,$I$5),IF($I$6="Apotek",COUNTIFS(Database!$B$4:$B$1048576,$I$4,Database!$Z$4:$Z$1048576,"=1",Database!$D$4:$D$1048576,$I$5,Database!$F$4:$F$1048576,$I$6),IF($I$6="Rumah sakit",COUNTIFS(Database!$B$4:$B$1048576,$I$4,Database!$Z$4:$Z$1048576,"=1",Database!$D$4:$D$1048576,$I$5,Database!$F$4:$F$1048576,$I$6),IF($I$6="Subdis",COUNTIFS(Database!$B$4:$B$1048576,$I$4,Database!$Z$4:$Z$1048576,"=1",Database!$D$4:$D$1048576,$I$5,Database!$F$4:$F$1048576,$I$6),0))))</f>
        <v>0</v>
      </c>
      <c r="C29" s="23">
        <f>IF($I$6="ALL",COUNTIFS(Database!$B$4:$B$1048576,$I$4,Database!$Z$4:$Z$1048576,"=2",Database!$D$4:$D$1048576,$I$5),IF($I$6="Apotek",COUNTIFS(Database!$B$4:$B$1048576,$I$4,Database!$Z$4:$Z$1048576,"=2",Database!$D$4:$D$1048576,$I$5,Database!$F$4:$F$1048576,$I$6),IF($I$6="Rumah sakit",COUNTIFS(Database!$B$4:$B$1048576,$I$4,Database!$Z$4:$Z$1048576,"=2",Database!$D$4:$D$1048576,$I$5,Database!$F$4:$F$1048576,$I$6),IF($I$6="Subdis",COUNTIFS(Database!$B$4:$B$1048576,$I$4,Database!$Z$4:$Z$1048576,"=2",Database!$D$4:$D$1048576,$I$5,Database!$F$4:$F$1048576,$I$6),0))))</f>
        <v>0</v>
      </c>
      <c r="D29" s="23">
        <f>IF($I$6="ALL",COUNTIFS(Database!$B$4:$B$1048576,$I$4,Database!$Z$4:$Z$1048576,"=3",Database!$D$4:$D$1048576,$I$5),IF($I$6="Apotek",COUNTIFS(Database!$B$4:$B$1048576,$I$4,Database!$Z$4:$Z$1048576,"=3",Database!$D$4:$D$1048576,$I$5,Database!$F$4:$F$1048576,$I$6),IF($I$6="Rumah sakit",COUNTIFS(Database!$B$4:$B$1048576,$I$4,Database!$Z$4:$Z$1048576,"=3",Database!$D$4:$D$1048576,$I$5,Database!$F$4:$F$1048576,$I$6),IF($I$6="Subdis",COUNTIFS(Database!$B$4:$B$1048576,$I$4,Database!$Z$4:$Z$1048576,"=3",Database!$D$4:$D$1048576,$I$5,Database!$F$4:$F$1048576,$I$6),0))))</f>
        <v>0</v>
      </c>
      <c r="E29" s="23">
        <f>IF($I$6="ALL",COUNTIFS(Database!$B$4:$B$1048576,$I$4,Database!$Z$4:$Z$1048576,"=4",Database!$D$4:$D$1048576,$I$5),IF($I$6="Apotek",COUNTIFS(Database!$B$4:$B$1048576,$I$4,Database!$Z$4:$Z$1048576,"=4",Database!$D$4:$D$1048576,$I$5,Database!$F$4:$F$1048576,$I$6),IF($I$6="Rumah sakit",COUNTIFS(Database!$B$4:$B$1048576,$I$4,Database!$Z$4:$Z$1048576,"=4",Database!$D$4:$D$1048576,$I$5,Database!$F$4:$F$1048576,$I$6),IF($I$6="Subdis",COUNTIFS(Database!$B$4:$B$1048576,$I$4,Database!$Z$4:$Z$1048576,"=4",Database!$D$4:$D$1048576,$I$5,Database!$F$4:$F$1048576,$I$6),0))))</f>
        <v>0</v>
      </c>
      <c r="F29" s="9">
        <f t="shared" si="0"/>
        <v>0</v>
      </c>
      <c r="G29" s="10" t="e">
        <f t="shared" si="10"/>
        <v>#DIV/0!</v>
      </c>
      <c r="H29" s="23">
        <f>IF($I$6="ALL",COUNTIFS(Database!$AC$4:$AC$1048576,$I$4,Database!$BA$4:$BA$1048576,"=1",Database!$AE$4:$AE$1048576,$I$5),IF($I$6="Apotek",COUNTIFS(Database!$AC$4:$AC$1048576,$I$4,Database!$BA$4:$BA$1048576,"=1",Database!$AE$4:$AE$1048576,$I$5,Database!$AG$4:$AG$1048576,$I$6),IF($I$6="Rumah sakit",COUNTIFS(Database!$AC$4:$AC$1048576,$I$4,Database!$BA$4:$BA$1048576,"=1",Database!$AE$4:$AE$1048576,$I$5,Database!$AG$4:$AG$1048576,$I$6),IF($I$6="Subdis",COUNTIFS(Database!$AC$4:$AC$1048576,$I$4,Database!$BA$4:$BA$1048576,"=1",Database!$AE$4:$AE$1048576,$I$5,Database!$AG$4:$AG$1048576,$I$6),0))))</f>
        <v>0</v>
      </c>
      <c r="I29" s="23">
        <f>IF($I$6="ALL",COUNTIFS(Database!$AC$4:$AC$1048576,$I$4,Database!$BA$4:$BA$1048576,"=2",Database!$AE$4:$AE$1048576,$I$5),IF($I$6="Apotek",COUNTIFS(Database!$AC$4:$AC$1048576,$I$4,Database!$BA$4:$BA$1048576,"=2",Database!$AE$4:$AE$1048576,$I$5,Database!$AG$4:$AG$1048576,$I$6),IF($I$6="Rumah sakit",COUNTIFS(Database!$AC$4:$AC$1048576,$I$4,Database!$BA$4:$BA$1048576,"=2",Database!$AE$4:$AE$1048576,$I$5,Database!$AG$4:$AG$1048576,$I$6),IF($I$6="Subdis",COUNTIFS(Database!$AC$4:$AC$1048576,$I$4,Database!$BA$4:$BA$1048576,"=2",Database!$AE$4:$AE$1048576,$I$5,Database!$AG$4:$AG$1048576,$I$6),0))))</f>
        <v>0</v>
      </c>
      <c r="J29" s="23">
        <f>IF($I$6="ALL",COUNTIFS(Database!$AC$4:$AC$1048576,$I$4,Database!$BA$4:$BA$1048576,"=3",Database!$AE$4:$AE$1048576,$I$5),IF($I$6="Apotek",COUNTIFS(Database!$AC$4:$AC$1048576,$I$4,Database!$BA$4:$BA$1048576,"=3",Database!$AE$4:$AE$1048576,$I$5,Database!$AG$4:$AG$1048576,$I$6),IF($I$6="Rumah sakit",COUNTIFS(Database!$AC$4:$AC$1048576,$I$4,Database!$BA$4:$BA$1048576,"=3",Database!$AE$4:$AE$1048576,$I$5,Database!$AG$4:$AG$1048576,$I$6),IF($I$6="Subdis",COUNTIFS(Database!$AC$4:$AC$1048576,$I$4,Database!$BA$4:$BA$1048576,"=3",Database!$AE$4:$AE$1048576,$I$5,Database!$AG$4:$AG$1048576,$I$6),0))))</f>
        <v>0</v>
      </c>
      <c r="K29" s="23">
        <f>IF($I$6="ALL",COUNTIFS(Database!$AC$4:$AC$1048576,$I$4,Database!$BA$4:$BA$1048576,"=4",Database!$AE$4:$AE$1048576,$I$5),IF($I$6="Apotek",COUNTIFS(Database!$AC$4:$AC$1048576,$I$4,Database!$BA$4:$BA$1048576,"=4",Database!$AE$4:$AE$1048576,$I$5,Database!$AG$4:$AG$1048576,$I$6),IF($I$6="Rumah sakit",COUNTIFS(Database!$AC$4:$AC$1048576,$I$4,Database!$BA$4:$BA$1048576,"=4",Database!$AE$4:$AE$1048576,$I$5,Database!$AG$4:$AG$1048576,$I$6),IF($I$6="Subdis",COUNTIFS(Database!$AC$4:$AC$1048576,$I$4,Database!$BA$4:$BA$1048576,"=4",Database!$AE$4:$AE$1048576,$I$5,Database!$AG$4:$AG$1048576,$I$6),0))))</f>
        <v>0</v>
      </c>
      <c r="L29" s="9">
        <f t="shared" si="1"/>
        <v>0</v>
      </c>
      <c r="M29" s="10" t="e">
        <f t="shared" si="2"/>
        <v>#DIV/0!</v>
      </c>
      <c r="N29" s="10" t="e">
        <f t="shared" si="3"/>
        <v>#DIV/0!</v>
      </c>
      <c r="O29" s="32" t="e">
        <f t="shared" si="4"/>
        <v>#DIV/0!</v>
      </c>
      <c r="P29" s="11" t="s">
        <v>63</v>
      </c>
      <c r="Q29" s="32" t="e">
        <f t="shared" si="17"/>
        <v>#DIV/0!</v>
      </c>
      <c r="R29" s="81" t="e">
        <f t="shared" si="6"/>
        <v>#DIV/0!</v>
      </c>
      <c r="S29" s="81" t="e">
        <f t="shared" si="7"/>
        <v>#DIV/0!</v>
      </c>
      <c r="T29" s="81" t="e">
        <f t="shared" si="18"/>
        <v>#DIV/0!</v>
      </c>
      <c r="U29" s="81" t="e">
        <f t="shared" si="19"/>
        <v>#DIV/0!</v>
      </c>
      <c r="V29" s="253"/>
    </row>
    <row r="30" spans="1:22" x14ac:dyDescent="0.3">
      <c r="A30" s="16" t="s">
        <v>64</v>
      </c>
      <c r="B30" s="13">
        <f t="shared" ref="B30:D30" si="20">AVERAGE(B10:B29)</f>
        <v>0</v>
      </c>
      <c r="C30" s="13">
        <f t="shared" si="20"/>
        <v>0</v>
      </c>
      <c r="D30" s="13">
        <f t="shared" si="20"/>
        <v>0</v>
      </c>
      <c r="E30" s="13">
        <f>AVERAGE(E10:E29)</f>
        <v>0</v>
      </c>
      <c r="F30" s="9">
        <f>AVERAGE(F10:F29)</f>
        <v>0</v>
      </c>
      <c r="G30" s="10" t="e">
        <f>AVERAGE(G10:G29)</f>
        <v>#DIV/0!</v>
      </c>
      <c r="H30" s="13">
        <f>AVERAGE(H10:H29)</f>
        <v>0</v>
      </c>
      <c r="I30" s="13">
        <f t="shared" ref="I30:K30" si="21">AVERAGE(I10:I29)</f>
        <v>0</v>
      </c>
      <c r="J30" s="13">
        <f t="shared" si="21"/>
        <v>0</v>
      </c>
      <c r="K30" s="13">
        <f t="shared" si="21"/>
        <v>0</v>
      </c>
      <c r="L30" s="31">
        <f>AVERAGE(L10:L29)</f>
        <v>0</v>
      </c>
      <c r="M30" s="10" t="e">
        <f>AVERAGE(M10:M29)</f>
        <v>#DIV/0!</v>
      </c>
      <c r="N30" s="10" t="e">
        <f>AVERAGE(N10:N29)</f>
        <v>#DIV/0!</v>
      </c>
      <c r="O30" s="279"/>
      <c r="P30" s="14"/>
      <c r="Q30" s="151"/>
      <c r="R30" s="151"/>
      <c r="S30" s="151"/>
      <c r="T30" s="151"/>
      <c r="U30" s="151"/>
      <c r="V30" s="151"/>
    </row>
    <row r="31" spans="1:22" ht="18" x14ac:dyDescent="0.35">
      <c r="A31" s="15"/>
      <c r="B31" s="280" t="s">
        <v>65</v>
      </c>
      <c r="C31" s="281"/>
      <c r="D31" s="281"/>
      <c r="E31" s="281"/>
      <c r="F31" s="30">
        <f>+SUM(B30:E30)</f>
        <v>0</v>
      </c>
      <c r="G31" s="17"/>
      <c r="H31" s="281" t="s">
        <v>65</v>
      </c>
      <c r="I31" s="281"/>
      <c r="J31" s="281"/>
      <c r="K31" s="281"/>
      <c r="L31" s="30">
        <f>+SUM(H30:K30)</f>
        <v>0</v>
      </c>
      <c r="M31" s="17"/>
      <c r="N31" s="17"/>
      <c r="O31" s="279"/>
      <c r="P31" s="14"/>
      <c r="Q31" s="151"/>
      <c r="R31" s="151"/>
      <c r="S31" s="151"/>
      <c r="T31" s="151"/>
      <c r="U31" s="151"/>
      <c r="V31" s="151"/>
    </row>
    <row r="32" spans="1:22" ht="25.5" customHeight="1" x14ac:dyDescent="0.35">
      <c r="A32" s="18" t="s">
        <v>66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282" t="e">
        <f>G30/M30*100</f>
        <v>#DIV/0!</v>
      </c>
      <c r="M32" s="282"/>
      <c r="N32" s="19"/>
      <c r="O32" s="20"/>
      <c r="P32" s="14"/>
      <c r="Q32" s="151"/>
      <c r="R32" s="151"/>
      <c r="S32" s="151"/>
      <c r="T32" s="151"/>
      <c r="U32" s="151"/>
      <c r="V32" s="151"/>
    </row>
    <row r="33" spans="6:11" x14ac:dyDescent="0.3">
      <c r="F33" s="21"/>
      <c r="G33" s="21"/>
      <c r="H33" s="21"/>
      <c r="I33" s="21"/>
      <c r="J33" s="21"/>
      <c r="K33" s="21"/>
    </row>
  </sheetData>
  <mergeCells count="29">
    <mergeCell ref="L32:M32"/>
    <mergeCell ref="A5:H5"/>
    <mergeCell ref="I5:L5"/>
    <mergeCell ref="A8:A9"/>
    <mergeCell ref="B8:G8"/>
    <mergeCell ref="H8:M8"/>
    <mergeCell ref="A6:H6"/>
    <mergeCell ref="I6:L6"/>
    <mergeCell ref="O8:O9"/>
    <mergeCell ref="P8:P9"/>
    <mergeCell ref="O30:O31"/>
    <mergeCell ref="B31:E31"/>
    <mergeCell ref="H31:K31"/>
    <mergeCell ref="A2:O2"/>
    <mergeCell ref="A3:H3"/>
    <mergeCell ref="I3:L3"/>
    <mergeCell ref="A4:H4"/>
    <mergeCell ref="I4:L4"/>
    <mergeCell ref="T8:T9"/>
    <mergeCell ref="U8:U9"/>
    <mergeCell ref="V21:V23"/>
    <mergeCell ref="V24:V29"/>
    <mergeCell ref="Q8:Q9"/>
    <mergeCell ref="V8:V9"/>
    <mergeCell ref="V10:V13"/>
    <mergeCell ref="V14:V15"/>
    <mergeCell ref="V16:V20"/>
    <mergeCell ref="R8:R9"/>
    <mergeCell ref="S8:S9"/>
  </mergeCells>
  <conditionalFormatting sqref="B9:E9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9:K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30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30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30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10:O29">
    <cfRule type="cellIs" dxfId="17" priority="8" operator="notBetween">
      <formula>0</formula>
      <formula>3</formula>
    </cfRule>
  </conditionalFormatting>
  <conditionalFormatting sqref="Q10:Q29">
    <cfRule type="cellIs" dxfId="16" priority="7" operator="greaterThan">
      <formula>1</formula>
    </cfRule>
  </conditionalFormatting>
  <conditionalFormatting sqref="R10:S29">
    <cfRule type="cellIs" dxfId="15" priority="2" operator="greaterThan">
      <formula>3</formula>
    </cfRule>
  </conditionalFormatting>
  <conditionalFormatting sqref="T10:U29">
    <cfRule type="cellIs" dxfId="14" priority="1" operator="greaterThan">
      <formula>1</formula>
    </cfRule>
  </conditionalFormatting>
  <dataValidations count="4">
    <dataValidation type="list" allowBlank="1" showInputMessage="1" showErrorMessage="1" sqref="I3">
      <formula1>cabang</formula1>
    </dataValidation>
    <dataValidation type="list" allowBlank="1" showInputMessage="1" showErrorMessage="1" promptTitle="Periode" prompt="Menampilkan hasil survei berdasarkan periode." sqref="I4:L4">
      <formula1>Kuisioner_ke</formula1>
    </dataValidation>
    <dataValidation type="list" allowBlank="1" showInputMessage="1" showErrorMessage="1" promptTitle="Cabang" prompt="Menampilkan hasil survei berdasarkan cabang." sqref="I5:L5">
      <formula1>cabang</formula1>
    </dataValidation>
    <dataValidation type="list" allowBlank="1" showInputMessage="1" showErrorMessage="1" promptTitle="Channel" prompt="Menampilkan hasil survei berdasarkan channel" sqref="I6:L6">
      <formula1>pilihan_channel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66"/>
  <sheetViews>
    <sheetView topLeftCell="I3" zoomScale="90" zoomScaleNormal="90" workbookViewId="0">
      <selection activeCell="R8" sqref="R8"/>
    </sheetView>
  </sheetViews>
  <sheetFormatPr defaultRowHeight="15" x14ac:dyDescent="0.25"/>
  <cols>
    <col min="1" max="1" width="81.42578125" customWidth="1"/>
    <col min="2" max="2" width="12.42578125" customWidth="1"/>
    <col min="3" max="3" width="12.28515625" style="54" customWidth="1"/>
    <col min="4" max="4" width="12.7109375" style="54" customWidth="1"/>
    <col min="5" max="6" width="9.140625" customWidth="1"/>
    <col min="7" max="7" width="81.42578125" customWidth="1"/>
    <col min="8" max="8" width="12.5703125" customWidth="1"/>
    <col min="9" max="9" width="13.140625" style="54" customWidth="1"/>
    <col min="10" max="10" width="12.42578125" style="54" customWidth="1"/>
    <col min="11" max="12" width="9.140625" customWidth="1"/>
    <col min="13" max="13" width="81.42578125" customWidth="1"/>
    <col min="14" max="14" width="16.140625" customWidth="1"/>
    <col min="15" max="15" width="14.42578125" customWidth="1"/>
    <col min="16" max="16" width="15" customWidth="1"/>
  </cols>
  <sheetData>
    <row r="1" spans="1:19" s="54" customFormat="1" ht="15" customHeight="1" x14ac:dyDescent="0.25">
      <c r="A1" s="308" t="s">
        <v>193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</row>
    <row r="2" spans="1:19" ht="15" customHeight="1" x14ac:dyDescent="0.25">
      <c r="A2" s="310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</row>
    <row r="4" spans="1:19" ht="15" customHeight="1" x14ac:dyDescent="0.25">
      <c r="A4" s="303" t="s">
        <v>192</v>
      </c>
      <c r="B4" s="304"/>
      <c r="C4" s="304"/>
      <c r="D4" s="304"/>
      <c r="G4" s="306" t="s">
        <v>188</v>
      </c>
      <c r="H4" s="307"/>
      <c r="I4" s="307"/>
      <c r="J4" s="307"/>
      <c r="M4" s="311" t="s">
        <v>189</v>
      </c>
      <c r="N4" s="312"/>
      <c r="O4" s="312"/>
      <c r="P4" s="312"/>
    </row>
    <row r="5" spans="1:19" ht="15" customHeight="1" x14ac:dyDescent="0.25">
      <c r="A5" s="304"/>
      <c r="B5" s="304"/>
      <c r="C5" s="304"/>
      <c r="D5" s="304"/>
      <c r="G5" s="307"/>
      <c r="H5" s="307"/>
      <c r="I5" s="307"/>
      <c r="J5" s="307"/>
      <c r="M5" s="312"/>
      <c r="N5" s="312"/>
      <c r="O5" s="312"/>
      <c r="P5" s="312"/>
      <c r="S5" s="157"/>
    </row>
    <row r="6" spans="1:19" x14ac:dyDescent="0.25">
      <c r="A6" s="173" t="s">
        <v>190</v>
      </c>
      <c r="B6" s="100" t="s">
        <v>210</v>
      </c>
      <c r="C6" s="100" t="s">
        <v>209</v>
      </c>
      <c r="D6" s="100" t="s">
        <v>191</v>
      </c>
      <c r="G6" s="159" t="s">
        <v>190</v>
      </c>
      <c r="H6" s="160" t="s">
        <v>210</v>
      </c>
      <c r="I6" s="160" t="s">
        <v>209</v>
      </c>
      <c r="J6" s="160" t="s">
        <v>191</v>
      </c>
      <c r="M6" s="163" t="s">
        <v>190</v>
      </c>
      <c r="N6" s="164" t="s">
        <v>210</v>
      </c>
      <c r="O6" s="164" t="s">
        <v>209</v>
      </c>
      <c r="P6" s="164" t="s">
        <v>191</v>
      </c>
      <c r="S6" s="158"/>
    </row>
    <row r="7" spans="1:19" x14ac:dyDescent="0.25">
      <c r="A7" s="174" t="str">
        <f>'Hasil Survei Nasional'!P9</f>
        <v>Ketepatan waktu kunjungan salesman mengambil order</v>
      </c>
      <c r="B7" s="183" t="e">
        <f>'Hasil Survei Nasional'!R9</f>
        <v>#DIV/0!</v>
      </c>
      <c r="C7" s="183" t="e">
        <f>'Hasil Survei Nasional'!S9</f>
        <v>#DIV/0!</v>
      </c>
      <c r="D7" s="183" t="e">
        <f>'Hasil Survei Nasional'!O9</f>
        <v>#DIV/0!</v>
      </c>
      <c r="G7" s="161" t="str">
        <f>'Hasil Survei Region'!P9</f>
        <v>Ketepatan waktu kunjungan salesman mengambil order</v>
      </c>
      <c r="H7" s="162" t="e">
        <f>'Hasil Survei Region'!R9</f>
        <v>#DIV/0!</v>
      </c>
      <c r="I7" s="162" t="e">
        <f>'Hasil Survei Region'!S9</f>
        <v>#DIV/0!</v>
      </c>
      <c r="J7" s="162" t="e">
        <f>'Hasil Survei Region'!O9</f>
        <v>#DIV/0!</v>
      </c>
      <c r="M7" s="165" t="str">
        <f>'Hasil Survei Cabang'!P10</f>
        <v>Ketepatan waktu kunjungan salesman mengambil order</v>
      </c>
      <c r="N7" s="166" t="e">
        <f>'Hasil Survei Cabang'!R10</f>
        <v>#DIV/0!</v>
      </c>
      <c r="O7" s="166" t="e">
        <f>'Hasil Survei Cabang'!S10</f>
        <v>#DIV/0!</v>
      </c>
      <c r="P7" s="166" t="e">
        <f>'Hasil Survei Cabang'!O10</f>
        <v>#DIV/0!</v>
      </c>
      <c r="S7" s="158"/>
    </row>
    <row r="8" spans="1:19" x14ac:dyDescent="0.25">
      <c r="A8" s="174" t="str">
        <f>'Hasil Survei Nasional'!P10</f>
        <v>Salesman Penampilan Rapih</v>
      </c>
      <c r="B8" s="183" t="e">
        <f>'Hasil Survei Nasional'!R10</f>
        <v>#DIV/0!</v>
      </c>
      <c r="C8" s="183" t="e">
        <f>'Hasil Survei Nasional'!S10</f>
        <v>#DIV/0!</v>
      </c>
      <c r="D8" s="183" t="e">
        <f>'Hasil Survei Nasional'!O10</f>
        <v>#DIV/0!</v>
      </c>
      <c r="G8" s="161" t="str">
        <f>'Hasil Survei Region'!P10</f>
        <v>Salesman Penampilan Rapih</v>
      </c>
      <c r="H8" s="162" t="e">
        <f>'Hasil Survei Region'!R10</f>
        <v>#DIV/0!</v>
      </c>
      <c r="I8" s="162" t="e">
        <f>'Hasil Survei Region'!S10</f>
        <v>#DIV/0!</v>
      </c>
      <c r="J8" s="162" t="e">
        <f>'Hasil Survei Region'!O10</f>
        <v>#DIV/0!</v>
      </c>
      <c r="M8" s="165" t="str">
        <f>'Hasil Survei Cabang'!P11</f>
        <v>Salesman Penampilan Rapih</v>
      </c>
      <c r="N8" s="166" t="e">
        <f>'Hasil Survei Cabang'!R11</f>
        <v>#DIV/0!</v>
      </c>
      <c r="O8" s="166" t="e">
        <f>'Hasil Survei Cabang'!S11</f>
        <v>#DIV/0!</v>
      </c>
      <c r="P8" s="166" t="e">
        <f>'Hasil Survei Cabang'!O11</f>
        <v>#DIV/0!</v>
      </c>
      <c r="S8" s="158"/>
    </row>
    <row r="9" spans="1:19" x14ac:dyDescent="0.25">
      <c r="A9" s="174" t="str">
        <f>'Hasil Survei Nasional'!P11</f>
        <v>Pengetahuan Salesman mengenai Produk</v>
      </c>
      <c r="B9" s="183" t="e">
        <f>'Hasil Survei Nasional'!R11</f>
        <v>#DIV/0!</v>
      </c>
      <c r="C9" s="183" t="e">
        <f>'Hasil Survei Nasional'!S11</f>
        <v>#DIV/0!</v>
      </c>
      <c r="D9" s="183" t="e">
        <f>'Hasil Survei Nasional'!O11</f>
        <v>#DIV/0!</v>
      </c>
      <c r="G9" s="161" t="str">
        <f>'Hasil Survei Region'!P11</f>
        <v>Pengetahuan Salesman mengenai Produk</v>
      </c>
      <c r="H9" s="162" t="e">
        <f>'Hasil Survei Region'!R11</f>
        <v>#DIV/0!</v>
      </c>
      <c r="I9" s="162" t="e">
        <f>'Hasil Survei Region'!S11</f>
        <v>#DIV/0!</v>
      </c>
      <c r="J9" s="162" t="e">
        <f>'Hasil Survei Region'!O11</f>
        <v>#DIV/0!</v>
      </c>
      <c r="M9" s="165" t="str">
        <f>'Hasil Survei Cabang'!P12</f>
        <v>Pengetahuan Salesman mengenai Produk</v>
      </c>
      <c r="N9" s="166" t="e">
        <f>'Hasil Survei Cabang'!R12</f>
        <v>#DIV/0!</v>
      </c>
      <c r="O9" s="166" t="e">
        <f>'Hasil Survei Cabang'!S12</f>
        <v>#DIV/0!</v>
      </c>
      <c r="P9" s="166" t="e">
        <f>'Hasil Survei Cabang'!O12</f>
        <v>#DIV/0!</v>
      </c>
      <c r="S9" s="158"/>
    </row>
    <row r="10" spans="1:19" x14ac:dyDescent="0.25">
      <c r="A10" s="174" t="str">
        <f>'Hasil Survei Nasional'!P12</f>
        <v xml:space="preserve">Ketanggapan Salesman dalam membantu menyelesaikan Keluhan </v>
      </c>
      <c r="B10" s="183" t="e">
        <f>'Hasil Survei Nasional'!R12</f>
        <v>#DIV/0!</v>
      </c>
      <c r="C10" s="183" t="e">
        <f>'Hasil Survei Nasional'!S12</f>
        <v>#DIV/0!</v>
      </c>
      <c r="D10" s="183" t="e">
        <f>'Hasil Survei Nasional'!O12</f>
        <v>#DIV/0!</v>
      </c>
      <c r="G10" s="161" t="str">
        <f>'Hasil Survei Region'!P12</f>
        <v xml:space="preserve">Ketanggapan Salesman dalam membantu menyelesaikan Keluhan </v>
      </c>
      <c r="H10" s="162" t="e">
        <f>'Hasil Survei Region'!R12</f>
        <v>#DIV/0!</v>
      </c>
      <c r="I10" s="162" t="e">
        <f>'Hasil Survei Region'!S12</f>
        <v>#DIV/0!</v>
      </c>
      <c r="J10" s="162" t="e">
        <f>'Hasil Survei Region'!O12</f>
        <v>#DIV/0!</v>
      </c>
      <c r="M10" s="165" t="str">
        <f>'Hasil Survei Cabang'!P13</f>
        <v xml:space="preserve">Ketanggapan Salesman dalam membantu menyelesaikan Keluhan </v>
      </c>
      <c r="N10" s="166" t="e">
        <f>'Hasil Survei Cabang'!R13</f>
        <v>#DIV/0!</v>
      </c>
      <c r="O10" s="166" t="e">
        <f>'Hasil Survei Cabang'!S13</f>
        <v>#DIV/0!</v>
      </c>
      <c r="P10" s="166" t="e">
        <f>'Hasil Survei Cabang'!O13</f>
        <v>#DIV/0!</v>
      </c>
      <c r="S10" s="158"/>
    </row>
    <row r="11" spans="1:19" x14ac:dyDescent="0.25">
      <c r="A11" s="174" t="str">
        <f>'Hasil Survei Nasional'!P13</f>
        <v>Kesediaan Salesman dalam membantu penyelesaian proses Retur barang</v>
      </c>
      <c r="B11" s="183" t="e">
        <f>'Hasil Survei Nasional'!R13</f>
        <v>#DIV/0!</v>
      </c>
      <c r="C11" s="183" t="e">
        <f>'Hasil Survei Nasional'!S13</f>
        <v>#DIV/0!</v>
      </c>
      <c r="D11" s="183" t="e">
        <f>'Hasil Survei Nasional'!O13</f>
        <v>#DIV/0!</v>
      </c>
      <c r="G11" s="161" t="str">
        <f>'Hasil Survei Region'!P13</f>
        <v>Kesediaan Salesman dalam membantu penyelesaian proses Retur barang</v>
      </c>
      <c r="H11" s="162" t="e">
        <f>'Hasil Survei Region'!R13</f>
        <v>#DIV/0!</v>
      </c>
      <c r="I11" s="162" t="e">
        <f>'Hasil Survei Region'!S13</f>
        <v>#DIV/0!</v>
      </c>
      <c r="J11" s="162" t="e">
        <f>'Hasil Survei Region'!O13</f>
        <v>#DIV/0!</v>
      </c>
      <c r="M11" s="165" t="str">
        <f>'Hasil Survei Cabang'!P14</f>
        <v>Kesediaan Salesman dalam membantu penyelesaian proses Retur barang</v>
      </c>
      <c r="N11" s="166" t="e">
        <f>'Hasil Survei Cabang'!R14</f>
        <v>#DIV/0!</v>
      </c>
      <c r="O11" s="166" t="e">
        <f>'Hasil Survei Cabang'!S14</f>
        <v>#DIV/0!</v>
      </c>
      <c r="P11" s="166" t="e">
        <f>'Hasil Survei Cabang'!O14</f>
        <v>#DIV/0!</v>
      </c>
      <c r="S11" s="158"/>
    </row>
    <row r="12" spans="1:19" x14ac:dyDescent="0.25">
      <c r="A12" s="174" t="str">
        <f>'Hasil Survei Nasional'!P14</f>
        <v>Kecepatan pelayanan Retur Barang</v>
      </c>
      <c r="B12" s="183" t="e">
        <f>'Hasil Survei Nasional'!R14</f>
        <v>#DIV/0!</v>
      </c>
      <c r="C12" s="183" t="e">
        <f>'Hasil Survei Nasional'!S14</f>
        <v>#DIV/0!</v>
      </c>
      <c r="D12" s="183" t="e">
        <f>'Hasil Survei Nasional'!O14</f>
        <v>#DIV/0!</v>
      </c>
      <c r="G12" s="161" t="str">
        <f>'Hasil Survei Region'!P14</f>
        <v>Kecepatan pelayanan Retur Barang</v>
      </c>
      <c r="H12" s="162" t="e">
        <f>'Hasil Survei Region'!R14</f>
        <v>#DIV/0!</v>
      </c>
      <c r="I12" s="162" t="e">
        <f>'Hasil Survei Region'!S14</f>
        <v>#DIV/0!</v>
      </c>
      <c r="J12" s="162" t="e">
        <f>'Hasil Survei Region'!O14</f>
        <v>#DIV/0!</v>
      </c>
      <c r="M12" s="165" t="str">
        <f>'Hasil Survei Cabang'!P15</f>
        <v>Kecepatan pelayanan Retur Barang</v>
      </c>
      <c r="N12" s="166" t="e">
        <f>'Hasil Survei Cabang'!R15</f>
        <v>#DIV/0!</v>
      </c>
      <c r="O12" s="166" t="e">
        <f>'Hasil Survei Cabang'!S15</f>
        <v>#DIV/0!</v>
      </c>
      <c r="P12" s="166" t="e">
        <f>'Hasil Survei Cabang'!O15</f>
        <v>#DIV/0!</v>
      </c>
      <c r="S12" s="158"/>
    </row>
    <row r="13" spans="1:19" x14ac:dyDescent="0.25">
      <c r="A13" s="174" t="str">
        <f>'Hasil Survei Nasional'!P15</f>
        <v>Penampilan Pengirim Barang</v>
      </c>
      <c r="B13" s="183" t="e">
        <f>'Hasil Survei Nasional'!R15</f>
        <v>#DIV/0!</v>
      </c>
      <c r="C13" s="183" t="e">
        <f>'Hasil Survei Nasional'!S15</f>
        <v>#DIV/0!</v>
      </c>
      <c r="D13" s="183" t="e">
        <f>'Hasil Survei Nasional'!O15</f>
        <v>#DIV/0!</v>
      </c>
      <c r="G13" s="161" t="str">
        <f>'Hasil Survei Region'!P15</f>
        <v>Penampilan Pengirim Barang</v>
      </c>
      <c r="H13" s="162" t="e">
        <f>'Hasil Survei Region'!R15</f>
        <v>#DIV/0!</v>
      </c>
      <c r="I13" s="162" t="e">
        <f>'Hasil Survei Region'!S15</f>
        <v>#DIV/0!</v>
      </c>
      <c r="J13" s="162" t="e">
        <f>'Hasil Survei Region'!O15</f>
        <v>#DIV/0!</v>
      </c>
      <c r="M13" s="165" t="str">
        <f>'Hasil Survei Cabang'!P16</f>
        <v>Penampilan Pengirim Barang</v>
      </c>
      <c r="N13" s="166" t="e">
        <f>'Hasil Survei Cabang'!R16</f>
        <v>#DIV/0!</v>
      </c>
      <c r="O13" s="166" t="e">
        <f>'Hasil Survei Cabang'!S16</f>
        <v>#DIV/0!</v>
      </c>
      <c r="P13" s="166" t="e">
        <f>'Hasil Survei Cabang'!O16</f>
        <v>#DIV/0!</v>
      </c>
      <c r="S13" s="158"/>
    </row>
    <row r="14" spans="1:19" x14ac:dyDescent="0.25">
      <c r="A14" s="174" t="str">
        <f>'Hasil Survei Nasional'!P16</f>
        <v>Kesesuaian antara pesanan dengan barang yang dikirim</v>
      </c>
      <c r="B14" s="183" t="e">
        <f>'Hasil Survei Nasional'!R16</f>
        <v>#DIV/0!</v>
      </c>
      <c r="C14" s="183" t="e">
        <f>'Hasil Survei Nasional'!S16</f>
        <v>#DIV/0!</v>
      </c>
      <c r="D14" s="183" t="e">
        <f>'Hasil Survei Nasional'!O16</f>
        <v>#DIV/0!</v>
      </c>
      <c r="G14" s="161" t="str">
        <f>'Hasil Survei Region'!P16</f>
        <v>Kesesuaian antara pesanan dengan barang yang dikirim</v>
      </c>
      <c r="H14" s="162" t="e">
        <f>'Hasil Survei Region'!R16</f>
        <v>#DIV/0!</v>
      </c>
      <c r="I14" s="162" t="e">
        <f>'Hasil Survei Region'!S16</f>
        <v>#DIV/0!</v>
      </c>
      <c r="J14" s="162" t="e">
        <f>'Hasil Survei Region'!O16</f>
        <v>#DIV/0!</v>
      </c>
      <c r="M14" s="165" t="str">
        <f>'Hasil Survei Cabang'!P17</f>
        <v>Kesesuaian antara pesanan dengan barang yang dikirim</v>
      </c>
      <c r="N14" s="166" t="e">
        <f>'Hasil Survei Cabang'!R17</f>
        <v>#DIV/0!</v>
      </c>
      <c r="O14" s="166" t="e">
        <f>'Hasil Survei Cabang'!S17</f>
        <v>#DIV/0!</v>
      </c>
      <c r="P14" s="166" t="e">
        <f>'Hasil Survei Cabang'!O17</f>
        <v>#DIV/0!</v>
      </c>
      <c r="S14" s="158"/>
    </row>
    <row r="15" spans="1:19" x14ac:dyDescent="0.25">
      <c r="A15" s="174" t="str">
        <f>'Hasil Survei Nasional'!P17</f>
        <v>Kesesuaian Pengiriman Produk Suhu Khusus dengan CDOB</v>
      </c>
      <c r="B15" s="183" t="e">
        <f>'Hasil Survei Nasional'!R17</f>
        <v>#DIV/0!</v>
      </c>
      <c r="C15" s="183" t="e">
        <f>'Hasil Survei Nasional'!S17</f>
        <v>#DIV/0!</v>
      </c>
      <c r="D15" s="183" t="e">
        <f>'Hasil Survei Nasional'!O17</f>
        <v>#DIV/0!</v>
      </c>
      <c r="G15" s="161" t="str">
        <f>'Hasil Survei Region'!P17</f>
        <v>Kesesuaian Pengiriman Produk Suhu Khusus dengan CDOB</v>
      </c>
      <c r="H15" s="162" t="e">
        <f>'Hasil Survei Region'!R17</f>
        <v>#DIV/0!</v>
      </c>
      <c r="I15" s="162" t="e">
        <f>'Hasil Survei Region'!S17</f>
        <v>#DIV/0!</v>
      </c>
      <c r="J15" s="162" t="e">
        <f>'Hasil Survei Region'!O17</f>
        <v>#DIV/0!</v>
      </c>
      <c r="M15" s="165" t="str">
        <f>'Hasil Survei Cabang'!P18</f>
        <v>Kesesuaian Pengiriman Produk Suhu Khusus dengan CDOB</v>
      </c>
      <c r="N15" s="166" t="e">
        <f>'Hasil Survei Cabang'!R18</f>
        <v>#DIV/0!</v>
      </c>
      <c r="O15" s="166" t="e">
        <f>'Hasil Survei Cabang'!S18</f>
        <v>#DIV/0!</v>
      </c>
      <c r="P15" s="166" t="e">
        <f>'Hasil Survei Cabang'!O18</f>
        <v>#DIV/0!</v>
      </c>
      <c r="S15" s="90"/>
    </row>
    <row r="16" spans="1:19" x14ac:dyDescent="0.25">
      <c r="A16" s="174" t="str">
        <f>'Hasil Survei Nasional'!P18</f>
        <v>Ketepatan waktu dalam pengiriman barang sesuai dengan janji</v>
      </c>
      <c r="B16" s="183" t="e">
        <f>'Hasil Survei Nasional'!R18</f>
        <v>#DIV/0!</v>
      </c>
      <c r="C16" s="183" t="e">
        <f>'Hasil Survei Nasional'!S18</f>
        <v>#DIV/0!</v>
      </c>
      <c r="D16" s="183" t="e">
        <f>'Hasil Survei Nasional'!O18</f>
        <v>#DIV/0!</v>
      </c>
      <c r="G16" s="161" t="str">
        <f>'Hasil Survei Region'!P18</f>
        <v>Ketepatan waktu dalam pengiriman barang sesuai dengan janji</v>
      </c>
      <c r="H16" s="162" t="e">
        <f>'Hasil Survei Region'!R18</f>
        <v>#DIV/0!</v>
      </c>
      <c r="I16" s="162" t="e">
        <f>'Hasil Survei Region'!S18</f>
        <v>#DIV/0!</v>
      </c>
      <c r="J16" s="162" t="e">
        <f>'Hasil Survei Region'!O18</f>
        <v>#DIV/0!</v>
      </c>
      <c r="M16" s="165" t="str">
        <f>'Hasil Survei Cabang'!P19</f>
        <v>Ketepatan waktu dalam pengiriman barang sesuai dengan janji</v>
      </c>
      <c r="N16" s="166" t="e">
        <f>'Hasil Survei Cabang'!R19</f>
        <v>#DIV/0!</v>
      </c>
      <c r="O16" s="166" t="e">
        <f>'Hasil Survei Cabang'!S19</f>
        <v>#DIV/0!</v>
      </c>
      <c r="P16" s="166" t="e">
        <f>'Hasil Survei Cabang'!O19</f>
        <v>#DIV/0!</v>
      </c>
      <c r="Q16" s="54"/>
      <c r="S16" s="90"/>
    </row>
    <row r="17" spans="1:16" x14ac:dyDescent="0.25">
      <c r="A17" s="174" t="str">
        <f>'Hasil Survei Nasional'!P19</f>
        <v>Kejelasan dokumen Pngiriman</v>
      </c>
      <c r="B17" s="183" t="e">
        <f>'Hasil Survei Nasional'!R19</f>
        <v>#DIV/0!</v>
      </c>
      <c r="C17" s="183" t="e">
        <f>'Hasil Survei Nasional'!S19</f>
        <v>#DIV/0!</v>
      </c>
      <c r="D17" s="183" t="e">
        <f>'Hasil Survei Nasional'!O19</f>
        <v>#DIV/0!</v>
      </c>
      <c r="G17" s="161" t="str">
        <f>'Hasil Survei Region'!P19</f>
        <v>Kejelasan dokumen Pngiriman</v>
      </c>
      <c r="H17" s="162" t="e">
        <f>'Hasil Survei Region'!R19</f>
        <v>#DIV/0!</v>
      </c>
      <c r="I17" s="162" t="e">
        <f>'Hasil Survei Region'!S19</f>
        <v>#DIV/0!</v>
      </c>
      <c r="J17" s="162" t="e">
        <f>'Hasil Survei Region'!O19</f>
        <v>#DIV/0!</v>
      </c>
      <c r="M17" s="165" t="str">
        <f>'Hasil Survei Cabang'!P20</f>
        <v>Kejelasan dokumen Pngiriman</v>
      </c>
      <c r="N17" s="166" t="e">
        <f>'Hasil Survei Cabang'!R20</f>
        <v>#DIV/0!</v>
      </c>
      <c r="O17" s="166" t="e">
        <f>'Hasil Survei Cabang'!S20</f>
        <v>#DIV/0!</v>
      </c>
      <c r="P17" s="166" t="e">
        <f>'Hasil Survei Cabang'!O20</f>
        <v>#DIV/0!</v>
      </c>
    </row>
    <row r="18" spans="1:16" x14ac:dyDescent="0.25">
      <c r="A18" s="174" t="str">
        <f>'Hasil Survei Nasional'!P20</f>
        <v>Penampilan penagih</v>
      </c>
      <c r="B18" s="183" t="e">
        <f>'Hasil Survei Nasional'!R20</f>
        <v>#DIV/0!</v>
      </c>
      <c r="C18" s="183" t="e">
        <f>'Hasil Survei Nasional'!S20</f>
        <v>#DIV/0!</v>
      </c>
      <c r="D18" s="183" t="e">
        <f>'Hasil Survei Nasional'!O20</f>
        <v>#DIV/0!</v>
      </c>
      <c r="G18" s="161" t="str">
        <f>'Hasil Survei Region'!P20</f>
        <v>Penampilan penagih</v>
      </c>
      <c r="H18" s="162" t="e">
        <f>'Hasil Survei Region'!R20</f>
        <v>#DIV/0!</v>
      </c>
      <c r="I18" s="162" t="e">
        <f>'Hasil Survei Region'!S20</f>
        <v>#DIV/0!</v>
      </c>
      <c r="J18" s="162" t="e">
        <f>'Hasil Survei Region'!O20</f>
        <v>#DIV/0!</v>
      </c>
      <c r="M18" s="165" t="str">
        <f>'Hasil Survei Cabang'!P21</f>
        <v>Penampilan penagih</v>
      </c>
      <c r="N18" s="166" t="e">
        <f>'Hasil Survei Cabang'!R21</f>
        <v>#DIV/0!</v>
      </c>
      <c r="O18" s="166" t="e">
        <f>'Hasil Survei Cabang'!S21</f>
        <v>#DIV/0!</v>
      </c>
      <c r="P18" s="166" t="e">
        <f>'Hasil Survei Cabang'!O21</f>
        <v>#DIV/0!</v>
      </c>
    </row>
    <row r="19" spans="1:16" x14ac:dyDescent="0.25">
      <c r="A19" s="174" t="str">
        <f>'Hasil Survei Nasional'!P21</f>
        <v>Ketepatan Waktu Kunjungan Penagih</v>
      </c>
      <c r="B19" s="183" t="e">
        <f>'Hasil Survei Nasional'!R21</f>
        <v>#DIV/0!</v>
      </c>
      <c r="C19" s="183" t="e">
        <f>'Hasil Survei Nasional'!S21</f>
        <v>#DIV/0!</v>
      </c>
      <c r="D19" s="183" t="e">
        <f>'Hasil Survei Nasional'!O21</f>
        <v>#DIV/0!</v>
      </c>
      <c r="G19" s="161" t="str">
        <f>'Hasil Survei Region'!P21</f>
        <v>Ketepatan Waktu Kunjungan Penagih</v>
      </c>
      <c r="H19" s="162" t="e">
        <f>'Hasil Survei Region'!R21</f>
        <v>#DIV/0!</v>
      </c>
      <c r="I19" s="162" t="e">
        <f>'Hasil Survei Region'!S21</f>
        <v>#DIV/0!</v>
      </c>
      <c r="J19" s="162" t="e">
        <f>'Hasil Survei Region'!O21</f>
        <v>#DIV/0!</v>
      </c>
      <c r="M19" s="165" t="str">
        <f>'Hasil Survei Cabang'!P22</f>
        <v>Ketepatan Waktu Kunjungan Penagih</v>
      </c>
      <c r="N19" s="166" t="e">
        <f>'Hasil Survei Cabang'!R22</f>
        <v>#DIV/0!</v>
      </c>
      <c r="O19" s="166" t="e">
        <f>'Hasil Survei Cabang'!S22</f>
        <v>#DIV/0!</v>
      </c>
      <c r="P19" s="166" t="e">
        <f>'Hasil Survei Cabang'!O22</f>
        <v>#DIV/0!</v>
      </c>
    </row>
    <row r="20" spans="1:16" x14ac:dyDescent="0.25">
      <c r="A20" s="174" t="str">
        <f>'Hasil Survei Nasional'!P22</f>
        <v>Kelengkapan dokumen Penagihan</v>
      </c>
      <c r="B20" s="183" t="e">
        <f>'Hasil Survei Nasional'!R22</f>
        <v>#DIV/0!</v>
      </c>
      <c r="C20" s="183" t="e">
        <f>'Hasil Survei Nasional'!S22</f>
        <v>#DIV/0!</v>
      </c>
      <c r="D20" s="183" t="e">
        <f>'Hasil Survei Nasional'!O22</f>
        <v>#DIV/0!</v>
      </c>
      <c r="G20" s="161" t="str">
        <f>'Hasil Survei Region'!P22</f>
        <v>Kelengkapan dokumen Penagihan</v>
      </c>
      <c r="H20" s="162" t="e">
        <f>'Hasil Survei Region'!R22</f>
        <v>#DIV/0!</v>
      </c>
      <c r="I20" s="162" t="e">
        <f>'Hasil Survei Region'!S22</f>
        <v>#DIV/0!</v>
      </c>
      <c r="J20" s="162" t="e">
        <f>'Hasil Survei Region'!O22</f>
        <v>#DIV/0!</v>
      </c>
      <c r="M20" s="165" t="str">
        <f>'Hasil Survei Cabang'!P23</f>
        <v>Kelengkapan dokumen Penagihan</v>
      </c>
      <c r="N20" s="166" t="e">
        <f>'Hasil Survei Cabang'!R23</f>
        <v>#DIV/0!</v>
      </c>
      <c r="O20" s="166" t="e">
        <f>'Hasil Survei Cabang'!S23</f>
        <v>#DIV/0!</v>
      </c>
      <c r="P20" s="166" t="e">
        <f>'Hasil Survei Cabang'!O23</f>
        <v>#DIV/0!</v>
      </c>
    </row>
    <row r="21" spans="1:16" x14ac:dyDescent="0.25">
      <c r="A21" s="174" t="str">
        <f>'Hasil Survei Nasional'!P23</f>
        <v>Kemudahan untuk menghubungi nomor telepon Enseval Customer Care (ECC)</v>
      </c>
      <c r="B21" s="183" t="e">
        <f>'Hasil Survei Nasional'!R23</f>
        <v>#DIV/0!</v>
      </c>
      <c r="C21" s="183" t="e">
        <f>'Hasil Survei Nasional'!S23</f>
        <v>#DIV/0!</v>
      </c>
      <c r="D21" s="183" t="e">
        <f>'Hasil Survei Nasional'!O23</f>
        <v>#DIV/0!</v>
      </c>
      <c r="G21" s="161" t="str">
        <f>'Hasil Survei Region'!P23</f>
        <v>Kemudahan untuk menghubungi nomor telepon Enseval Customer Care (ECC)</v>
      </c>
      <c r="H21" s="162" t="e">
        <f>'Hasil Survei Region'!R23</f>
        <v>#DIV/0!</v>
      </c>
      <c r="I21" s="162" t="e">
        <f>'Hasil Survei Region'!S23</f>
        <v>#DIV/0!</v>
      </c>
      <c r="J21" s="162" t="e">
        <f>'Hasil Survei Region'!O23</f>
        <v>#DIV/0!</v>
      </c>
      <c r="M21" s="165" t="str">
        <f>'Hasil Survei Cabang'!P24</f>
        <v>Kemudahan untuk menghubungi nomor telepon Enseval Customer Care (ECC)</v>
      </c>
      <c r="N21" s="166" t="e">
        <f>'Hasil Survei Cabang'!R24</f>
        <v>#DIV/0!</v>
      </c>
      <c r="O21" s="166" t="e">
        <f>'Hasil Survei Cabang'!S24</f>
        <v>#DIV/0!</v>
      </c>
      <c r="P21" s="166" t="e">
        <f>'Hasil Survei Cabang'!O24</f>
        <v>#DIV/0!</v>
      </c>
    </row>
    <row r="22" spans="1:16" x14ac:dyDescent="0.25">
      <c r="A22" s="174" t="str">
        <f>'Hasil Survei Nasional'!P24</f>
        <v>Kecepatan petugas ECC dalam penerimaan Telepon</v>
      </c>
      <c r="B22" s="183" t="e">
        <f>'Hasil Survei Nasional'!R24</f>
        <v>#DIV/0!</v>
      </c>
      <c r="C22" s="183" t="e">
        <f>'Hasil Survei Nasional'!S24</f>
        <v>#DIV/0!</v>
      </c>
      <c r="D22" s="183" t="e">
        <f>'Hasil Survei Nasional'!O24</f>
        <v>#DIV/0!</v>
      </c>
      <c r="G22" s="161" t="str">
        <f>'Hasil Survei Region'!P24</f>
        <v>Kecepatan petugas ECC dalam penerimaan Telepon</v>
      </c>
      <c r="H22" s="162" t="e">
        <f>'Hasil Survei Region'!R24</f>
        <v>#DIV/0!</v>
      </c>
      <c r="I22" s="162" t="e">
        <f>'Hasil Survei Region'!S24</f>
        <v>#DIV/0!</v>
      </c>
      <c r="J22" s="162" t="e">
        <f>'Hasil Survei Region'!O24</f>
        <v>#DIV/0!</v>
      </c>
      <c r="M22" s="165" t="str">
        <f>'Hasil Survei Cabang'!P25</f>
        <v>Kecepatan petugas ECC dalam penerimaan Telepon</v>
      </c>
      <c r="N22" s="166" t="e">
        <f>'Hasil Survei Cabang'!R25</f>
        <v>#DIV/0!</v>
      </c>
      <c r="O22" s="166" t="e">
        <f>'Hasil Survei Cabang'!S25</f>
        <v>#DIV/0!</v>
      </c>
      <c r="P22" s="166" t="e">
        <f>'Hasil Survei Cabang'!O25</f>
        <v>#DIV/0!</v>
      </c>
    </row>
    <row r="23" spans="1:16" x14ac:dyDescent="0.25">
      <c r="A23" s="174" t="str">
        <f>'Hasil Survei Nasional'!P25</f>
        <v xml:space="preserve">Keramahan Petugas ECC pada saat terima Telepon </v>
      </c>
      <c r="B23" s="183" t="e">
        <f>'Hasil Survei Nasional'!R25</f>
        <v>#DIV/0!</v>
      </c>
      <c r="C23" s="183" t="e">
        <f>'Hasil Survei Nasional'!S25</f>
        <v>#DIV/0!</v>
      </c>
      <c r="D23" s="183" t="e">
        <f>'Hasil Survei Nasional'!O25</f>
        <v>#DIV/0!</v>
      </c>
      <c r="G23" s="161" t="str">
        <f>'Hasil Survei Region'!P25</f>
        <v xml:space="preserve">Keramahan Petugas ECC pada saat terima Telepon </v>
      </c>
      <c r="H23" s="162" t="e">
        <f>'Hasil Survei Region'!R25</f>
        <v>#DIV/0!</v>
      </c>
      <c r="I23" s="162" t="e">
        <f>'Hasil Survei Region'!S25</f>
        <v>#DIV/0!</v>
      </c>
      <c r="J23" s="162" t="e">
        <f>'Hasil Survei Region'!O25</f>
        <v>#DIV/0!</v>
      </c>
      <c r="M23" s="165" t="str">
        <f>'Hasil Survei Cabang'!P26</f>
        <v xml:space="preserve">Keramahan Petugas ECC pada saat terima Telepon </v>
      </c>
      <c r="N23" s="166" t="e">
        <f>'Hasil Survei Cabang'!R26</f>
        <v>#DIV/0!</v>
      </c>
      <c r="O23" s="166" t="e">
        <f>'Hasil Survei Cabang'!S26</f>
        <v>#DIV/0!</v>
      </c>
      <c r="P23" s="166" t="e">
        <f>'Hasil Survei Cabang'!O26</f>
        <v>#DIV/0!</v>
      </c>
    </row>
    <row r="24" spans="1:16" x14ac:dyDescent="0.25">
      <c r="A24" s="174" t="str">
        <f>'Hasil Survei Nasional'!P26</f>
        <v>Pemahaman/pengetahuan mengenai produk oleh petugas ECC</v>
      </c>
      <c r="B24" s="183" t="e">
        <f>'Hasil Survei Nasional'!R26</f>
        <v>#DIV/0!</v>
      </c>
      <c r="C24" s="183" t="e">
        <f>'Hasil Survei Nasional'!S26</f>
        <v>#DIV/0!</v>
      </c>
      <c r="D24" s="183" t="e">
        <f>'Hasil Survei Nasional'!O26</f>
        <v>#DIV/0!</v>
      </c>
      <c r="G24" s="161" t="str">
        <f>'Hasil Survei Region'!P26</f>
        <v>Pemahaman/pengetahuan mengenai produk oleh petugas ECC</v>
      </c>
      <c r="H24" s="162" t="e">
        <f>'Hasil Survei Region'!R26</f>
        <v>#DIV/0!</v>
      </c>
      <c r="I24" s="162" t="e">
        <f>'Hasil Survei Region'!S26</f>
        <v>#DIV/0!</v>
      </c>
      <c r="J24" s="162" t="e">
        <f>'Hasil Survei Region'!O26</f>
        <v>#DIV/0!</v>
      </c>
      <c r="M24" s="165" t="str">
        <f>'Hasil Survei Cabang'!P27</f>
        <v>Pemahaman/pengetahuan mengenai produk oleh petugas ECC</v>
      </c>
      <c r="N24" s="166" t="e">
        <f>'Hasil Survei Cabang'!R27</f>
        <v>#DIV/0!</v>
      </c>
      <c r="O24" s="166" t="e">
        <f>'Hasil Survei Cabang'!S27</f>
        <v>#DIV/0!</v>
      </c>
      <c r="P24" s="166" t="e">
        <f>'Hasil Survei Cabang'!O27</f>
        <v>#DIV/0!</v>
      </c>
    </row>
    <row r="25" spans="1:16" x14ac:dyDescent="0.25">
      <c r="A25" s="174" t="str">
        <f>'Hasil Survei Nasional'!P27</f>
        <v>Ketanggapan petugas ECC menerima keluhan pelanggan</v>
      </c>
      <c r="B25" s="183" t="e">
        <f>'Hasil Survei Nasional'!R27</f>
        <v>#DIV/0!</v>
      </c>
      <c r="C25" s="183" t="e">
        <f>'Hasil Survei Nasional'!S27</f>
        <v>#DIV/0!</v>
      </c>
      <c r="D25" s="183" t="e">
        <f>'Hasil Survei Nasional'!O27</f>
        <v>#DIV/0!</v>
      </c>
      <c r="G25" s="161" t="str">
        <f>'Hasil Survei Region'!P27</f>
        <v>Ketanggapan petugas ECC menerima keluhan pelanggan</v>
      </c>
      <c r="H25" s="162" t="e">
        <f>'Hasil Survei Region'!R27</f>
        <v>#DIV/0!</v>
      </c>
      <c r="I25" s="162" t="e">
        <f>'Hasil Survei Region'!S27</f>
        <v>#DIV/0!</v>
      </c>
      <c r="J25" s="162" t="e">
        <f>'Hasil Survei Region'!O27</f>
        <v>#DIV/0!</v>
      </c>
      <c r="M25" s="165" t="str">
        <f>'Hasil Survei Cabang'!P28</f>
        <v>Ketanggapan petugas ECC menerima keluhan pelanggan</v>
      </c>
      <c r="N25" s="166" t="e">
        <f>'Hasil Survei Cabang'!R28</f>
        <v>#DIV/0!</v>
      </c>
      <c r="O25" s="166" t="e">
        <f>'Hasil Survei Cabang'!S28</f>
        <v>#DIV/0!</v>
      </c>
      <c r="P25" s="166" t="e">
        <f>'Hasil Survei Cabang'!O28</f>
        <v>#DIV/0!</v>
      </c>
    </row>
    <row r="26" spans="1:16" x14ac:dyDescent="0.25">
      <c r="A26" s="174" t="str">
        <f>'Hasil Survei Nasional'!P28</f>
        <v>Kecepatan petugas ECC dalam memberi informasi dan memfollow up keluhan pelanggan</v>
      </c>
      <c r="B26" s="183" t="e">
        <f>'Hasil Survei Nasional'!R28</f>
        <v>#DIV/0!</v>
      </c>
      <c r="C26" s="183" t="e">
        <f>'Hasil Survei Nasional'!S28</f>
        <v>#DIV/0!</v>
      </c>
      <c r="D26" s="183" t="e">
        <f>'Hasil Survei Nasional'!O28</f>
        <v>#DIV/0!</v>
      </c>
      <c r="G26" s="161" t="str">
        <f>'Hasil Survei Region'!P28</f>
        <v>Kecepatan petugas ECC dalam memberi informasi dan memfollow up keluhan pelanggan</v>
      </c>
      <c r="H26" s="162" t="e">
        <f>'Hasil Survei Region'!R28</f>
        <v>#DIV/0!</v>
      </c>
      <c r="I26" s="162" t="e">
        <f>'Hasil Survei Region'!S28</f>
        <v>#DIV/0!</v>
      </c>
      <c r="J26" s="162" t="e">
        <f>'Hasil Survei Region'!O28</f>
        <v>#DIV/0!</v>
      </c>
      <c r="M26" s="165" t="str">
        <f>'Hasil Survei Cabang'!P29</f>
        <v>Kecepatan petugas ECC dalam memberi informasi dan memfollow up keluhan pelanggan</v>
      </c>
      <c r="N26" s="166" t="e">
        <f>'Hasil Survei Cabang'!R29</f>
        <v>#DIV/0!</v>
      </c>
      <c r="O26" s="166" t="e">
        <f>'Hasil Survei Cabang'!S29</f>
        <v>#DIV/0!</v>
      </c>
      <c r="P26" s="166" t="e">
        <f>'Hasil Survei Cabang'!O29</f>
        <v>#DIV/0!</v>
      </c>
    </row>
    <row r="27" spans="1:16" s="54" customFormat="1" x14ac:dyDescent="0.25">
      <c r="A27" s="73"/>
      <c r="B27" s="74"/>
      <c r="C27" s="74"/>
      <c r="D27" s="74"/>
      <c r="G27" s="73"/>
      <c r="H27" s="74"/>
      <c r="I27" s="74"/>
      <c r="J27" s="74"/>
      <c r="M27" s="73"/>
      <c r="N27" s="74"/>
    </row>
    <row r="28" spans="1:16" s="54" customFormat="1" x14ac:dyDescent="0.25">
      <c r="A28" s="73"/>
      <c r="B28" s="74"/>
      <c r="C28" s="74"/>
      <c r="D28" s="74"/>
      <c r="G28" s="73"/>
      <c r="H28" s="74"/>
      <c r="I28" s="74"/>
      <c r="J28" s="74"/>
      <c r="M28" s="73"/>
      <c r="N28" s="74"/>
    </row>
    <row r="29" spans="1:16" x14ac:dyDescent="0.25">
      <c r="A29" s="54"/>
      <c r="G29" s="54"/>
    </row>
    <row r="30" spans="1:16" s="54" customFormat="1" ht="15" customHeight="1" x14ac:dyDescent="0.25">
      <c r="A30" s="303" t="s">
        <v>194</v>
      </c>
      <c r="B30" s="304"/>
      <c r="C30" s="304"/>
      <c r="D30" s="304"/>
      <c r="G30" s="306" t="s">
        <v>195</v>
      </c>
      <c r="H30" s="307"/>
      <c r="I30" s="307"/>
      <c r="J30" s="307"/>
      <c r="M30" s="311" t="s">
        <v>196</v>
      </c>
      <c r="N30" s="312"/>
      <c r="O30" s="312"/>
      <c r="P30" s="312"/>
    </row>
    <row r="31" spans="1:16" s="54" customFormat="1" ht="15" customHeight="1" x14ac:dyDescent="0.25">
      <c r="A31" s="304"/>
      <c r="B31" s="305"/>
      <c r="C31" s="305"/>
      <c r="D31" s="305"/>
      <c r="G31" s="307"/>
      <c r="H31" s="307"/>
      <c r="I31" s="307"/>
      <c r="J31" s="307"/>
      <c r="M31" s="312"/>
      <c r="N31" s="312"/>
      <c r="O31" s="312"/>
      <c r="P31" s="312"/>
    </row>
    <row r="32" spans="1:16" ht="15.75" x14ac:dyDescent="0.25">
      <c r="A32" s="188" t="s">
        <v>181</v>
      </c>
      <c r="B32" s="190"/>
      <c r="C32" s="191"/>
      <c r="D32" s="192"/>
      <c r="G32" s="202" t="s">
        <v>181</v>
      </c>
      <c r="H32" s="203"/>
      <c r="I32" s="203"/>
      <c r="J32" s="204"/>
      <c r="M32" s="202" t="s">
        <v>181</v>
      </c>
      <c r="N32" s="203"/>
      <c r="O32" s="203"/>
      <c r="P32" s="204"/>
    </row>
    <row r="33" spans="1:16" x14ac:dyDescent="0.25">
      <c r="A33" s="167" t="s">
        <v>190</v>
      </c>
      <c r="B33" s="189" t="s">
        <v>210</v>
      </c>
      <c r="C33" s="189" t="s">
        <v>209</v>
      </c>
      <c r="D33" s="189" t="s">
        <v>191</v>
      </c>
      <c r="G33" s="167" t="s">
        <v>190</v>
      </c>
      <c r="H33" s="105" t="s">
        <v>210</v>
      </c>
      <c r="I33" s="105" t="s">
        <v>209</v>
      </c>
      <c r="J33" s="105" t="s">
        <v>191</v>
      </c>
      <c r="M33" s="167" t="s">
        <v>190</v>
      </c>
      <c r="N33" s="105" t="s">
        <v>210</v>
      </c>
      <c r="O33" s="105" t="s">
        <v>209</v>
      </c>
      <c r="P33" s="105" t="s">
        <v>191</v>
      </c>
    </row>
    <row r="34" spans="1:16" x14ac:dyDescent="0.25">
      <c r="A34" s="168" t="str">
        <f>'Hasil Survei Nasional'!P9</f>
        <v>Ketepatan waktu kunjungan salesman mengambil order</v>
      </c>
      <c r="B34" s="106" t="e">
        <f>'Hasil Survei Nasional'!T9</f>
        <v>#DIV/0!</v>
      </c>
      <c r="C34" s="106" t="e">
        <f>'Hasil Survei Nasional'!U9</f>
        <v>#DIV/0!</v>
      </c>
      <c r="D34" s="106" t="e">
        <f>'Hasil Survei Nasional'!Q9</f>
        <v>#DIV/0!</v>
      </c>
      <c r="G34" s="168" t="str">
        <f>'Hasil Survei Region'!P9</f>
        <v>Ketepatan waktu kunjungan salesman mengambil order</v>
      </c>
      <c r="H34" s="106" t="e">
        <f>'Hasil Survei Region'!T9</f>
        <v>#DIV/0!</v>
      </c>
      <c r="I34" s="106" t="e">
        <f>'Hasil Survei Region'!U9</f>
        <v>#DIV/0!</v>
      </c>
      <c r="J34" s="106" t="e">
        <f>'Hasil Survei Region'!Q9</f>
        <v>#DIV/0!</v>
      </c>
      <c r="M34" s="168" t="str">
        <f>'Hasil Survei Cabang'!P10</f>
        <v>Ketepatan waktu kunjungan salesman mengambil order</v>
      </c>
      <c r="N34" s="106" t="e">
        <f>'Hasil Survei Cabang'!T10</f>
        <v>#DIV/0!</v>
      </c>
      <c r="O34" s="106" t="e">
        <f>'Hasil Survei Cabang'!U10</f>
        <v>#DIV/0!</v>
      </c>
      <c r="P34" s="106" t="e">
        <f>'Hasil Survei Cabang'!Q10</f>
        <v>#DIV/0!</v>
      </c>
    </row>
    <row r="35" spans="1:16" x14ac:dyDescent="0.25">
      <c r="A35" s="168" t="str">
        <f>'Hasil Survei Nasional'!P10</f>
        <v>Salesman Penampilan Rapih</v>
      </c>
      <c r="B35" s="106" t="e">
        <f>'Hasil Survei Nasional'!T10</f>
        <v>#DIV/0!</v>
      </c>
      <c r="C35" s="106" t="e">
        <f>'Hasil Survei Nasional'!U10</f>
        <v>#DIV/0!</v>
      </c>
      <c r="D35" s="106" t="e">
        <f>'Hasil Survei Nasional'!Q10</f>
        <v>#DIV/0!</v>
      </c>
      <c r="G35" s="168" t="str">
        <f>'Hasil Survei Region'!P10</f>
        <v>Salesman Penampilan Rapih</v>
      </c>
      <c r="H35" s="106" t="e">
        <f>'Hasil Survei Region'!T10</f>
        <v>#DIV/0!</v>
      </c>
      <c r="I35" s="106" t="e">
        <f>'Hasil Survei Region'!U10</f>
        <v>#DIV/0!</v>
      </c>
      <c r="J35" s="106" t="e">
        <f>'Hasil Survei Region'!Q10</f>
        <v>#DIV/0!</v>
      </c>
      <c r="M35" s="168" t="str">
        <f>'Hasil Survei Cabang'!P11</f>
        <v>Salesman Penampilan Rapih</v>
      </c>
      <c r="N35" s="106" t="e">
        <f>'Hasil Survei Cabang'!T11</f>
        <v>#DIV/0!</v>
      </c>
      <c r="O35" s="106" t="e">
        <f>'Hasil Survei Cabang'!U11</f>
        <v>#DIV/0!</v>
      </c>
      <c r="P35" s="106" t="e">
        <f>'Hasil Survei Cabang'!Q11</f>
        <v>#DIV/0!</v>
      </c>
    </row>
    <row r="36" spans="1:16" x14ac:dyDescent="0.25">
      <c r="A36" s="168" t="str">
        <f>'Hasil Survei Nasional'!P11</f>
        <v>Pengetahuan Salesman mengenai Produk</v>
      </c>
      <c r="B36" s="106" t="e">
        <f>'Hasil Survei Nasional'!T11</f>
        <v>#DIV/0!</v>
      </c>
      <c r="C36" s="106" t="e">
        <f>'Hasil Survei Nasional'!U11</f>
        <v>#DIV/0!</v>
      </c>
      <c r="D36" s="106" t="e">
        <f>'Hasil Survei Nasional'!Q11</f>
        <v>#DIV/0!</v>
      </c>
      <c r="G36" s="168" t="str">
        <f>'Hasil Survei Region'!P11</f>
        <v>Pengetahuan Salesman mengenai Produk</v>
      </c>
      <c r="H36" s="106" t="e">
        <f>'Hasil Survei Region'!T11</f>
        <v>#DIV/0!</v>
      </c>
      <c r="I36" s="106" t="e">
        <f>'Hasil Survei Region'!U11</f>
        <v>#DIV/0!</v>
      </c>
      <c r="J36" s="106" t="e">
        <f>'Hasil Survei Region'!Q11</f>
        <v>#DIV/0!</v>
      </c>
      <c r="M36" s="168" t="str">
        <f>'Hasil Survei Cabang'!P12</f>
        <v>Pengetahuan Salesman mengenai Produk</v>
      </c>
      <c r="N36" s="106" t="e">
        <f>'Hasil Survei Cabang'!T12</f>
        <v>#DIV/0!</v>
      </c>
      <c r="O36" s="106" t="e">
        <f>'Hasil Survei Cabang'!U12</f>
        <v>#DIV/0!</v>
      </c>
      <c r="P36" s="106" t="e">
        <f>'Hasil Survei Cabang'!Q12</f>
        <v>#DIV/0!</v>
      </c>
    </row>
    <row r="37" spans="1:16" x14ac:dyDescent="0.25">
      <c r="A37" s="168" t="str">
        <f>'Hasil Survei Nasional'!P12</f>
        <v xml:space="preserve">Ketanggapan Salesman dalam membantu menyelesaikan Keluhan </v>
      </c>
      <c r="B37" s="106" t="e">
        <f>'Hasil Survei Nasional'!T12</f>
        <v>#DIV/0!</v>
      </c>
      <c r="C37" s="106" t="e">
        <f>'Hasil Survei Nasional'!U12</f>
        <v>#DIV/0!</v>
      </c>
      <c r="D37" s="106" t="e">
        <f>'Hasil Survei Nasional'!Q12</f>
        <v>#DIV/0!</v>
      </c>
      <c r="G37" s="168" t="str">
        <f>'Hasil Survei Region'!P12</f>
        <v xml:space="preserve">Ketanggapan Salesman dalam membantu menyelesaikan Keluhan </v>
      </c>
      <c r="H37" s="106" t="e">
        <f>'Hasil Survei Region'!T12</f>
        <v>#DIV/0!</v>
      </c>
      <c r="I37" s="106" t="e">
        <f>'Hasil Survei Region'!U12</f>
        <v>#DIV/0!</v>
      </c>
      <c r="J37" s="106" t="e">
        <f>'Hasil Survei Region'!Q12</f>
        <v>#DIV/0!</v>
      </c>
      <c r="M37" s="168" t="str">
        <f>'Hasil Survei Cabang'!P13</f>
        <v xml:space="preserve">Ketanggapan Salesman dalam membantu menyelesaikan Keluhan </v>
      </c>
      <c r="N37" s="106" t="e">
        <f>'Hasil Survei Cabang'!T13</f>
        <v>#DIV/0!</v>
      </c>
      <c r="O37" s="106" t="e">
        <f>'Hasil Survei Cabang'!U13</f>
        <v>#DIV/0!</v>
      </c>
      <c r="P37" s="106" t="e">
        <f>'Hasil Survei Cabang'!Q13</f>
        <v>#DIV/0!</v>
      </c>
    </row>
    <row r="38" spans="1:16" x14ac:dyDescent="0.25">
      <c r="A38" s="206"/>
      <c r="B38" s="207"/>
      <c r="C38" s="207"/>
      <c r="D38" s="206"/>
      <c r="G38" s="209"/>
      <c r="H38" s="210"/>
      <c r="I38" s="210"/>
      <c r="J38" s="209"/>
      <c r="M38" s="208"/>
      <c r="N38" s="208"/>
      <c r="O38" s="208"/>
      <c r="P38" s="208"/>
    </row>
    <row r="39" spans="1:16" x14ac:dyDescent="0.25">
      <c r="A39" s="185" t="s">
        <v>182</v>
      </c>
      <c r="B39" s="186"/>
      <c r="C39" s="186"/>
      <c r="D39" s="187"/>
      <c r="G39" s="196" t="s">
        <v>182</v>
      </c>
      <c r="H39" s="197"/>
      <c r="I39" s="197"/>
      <c r="J39" s="198"/>
      <c r="M39" s="196" t="s">
        <v>182</v>
      </c>
      <c r="N39" s="197"/>
      <c r="O39" s="197"/>
      <c r="P39" s="198"/>
    </row>
    <row r="40" spans="1:16" x14ac:dyDescent="0.25">
      <c r="A40" s="176" t="s">
        <v>190</v>
      </c>
      <c r="B40" s="107" t="s">
        <v>210</v>
      </c>
      <c r="C40" s="107" t="s">
        <v>209</v>
      </c>
      <c r="D40" s="107" t="s">
        <v>191</v>
      </c>
      <c r="G40" s="173" t="s">
        <v>190</v>
      </c>
      <c r="H40" s="100" t="s">
        <v>210</v>
      </c>
      <c r="I40" s="100" t="s">
        <v>209</v>
      </c>
      <c r="J40" s="100" t="s">
        <v>191</v>
      </c>
      <c r="M40" s="173" t="s">
        <v>190</v>
      </c>
      <c r="N40" s="100" t="s">
        <v>210</v>
      </c>
      <c r="O40" s="100" t="s">
        <v>209</v>
      </c>
      <c r="P40" s="100" t="s">
        <v>191</v>
      </c>
    </row>
    <row r="41" spans="1:16" x14ac:dyDescent="0.25">
      <c r="A41" s="177" t="str">
        <f>'Hasil Survei Nasional'!P13</f>
        <v>Kesediaan Salesman dalam membantu penyelesaian proses Retur barang</v>
      </c>
      <c r="B41" s="178" t="e">
        <f>'Hasil Survei Nasional'!T13</f>
        <v>#DIV/0!</v>
      </c>
      <c r="C41" s="178" t="e">
        <f>'Hasil Survei Nasional'!U13</f>
        <v>#DIV/0!</v>
      </c>
      <c r="D41" s="178" t="e">
        <f>'Hasil Survei Nasional'!Q13</f>
        <v>#DIV/0!</v>
      </c>
      <c r="G41" s="205" t="str">
        <f>'Hasil Survei Region'!P13</f>
        <v>Kesediaan Salesman dalam membantu penyelesaian proses Retur barang</v>
      </c>
      <c r="H41" s="175" t="e">
        <f>'Hasil Survei Region'!T13</f>
        <v>#DIV/0!</v>
      </c>
      <c r="I41" s="175" t="e">
        <f>'Hasil Survei Region'!U13</f>
        <v>#DIV/0!</v>
      </c>
      <c r="J41" s="175" t="e">
        <f>'Hasil Survei Region'!Q13</f>
        <v>#DIV/0!</v>
      </c>
      <c r="M41" s="174" t="str">
        <f>'Hasil Survei Cabang'!P14</f>
        <v>Kesediaan Salesman dalam membantu penyelesaian proses Retur barang</v>
      </c>
      <c r="N41" s="175" t="e">
        <f>'Hasil Survei Cabang'!T14</f>
        <v>#DIV/0!</v>
      </c>
      <c r="O41" s="175" t="e">
        <f>'Hasil Survei Cabang'!U14</f>
        <v>#DIV/0!</v>
      </c>
      <c r="P41" s="175" t="e">
        <f>'Hasil Survei Cabang'!Q14</f>
        <v>#DIV/0!</v>
      </c>
    </row>
    <row r="42" spans="1:16" x14ac:dyDescent="0.25">
      <c r="A42" s="177" t="str">
        <f>'Hasil Survei Nasional'!P14</f>
        <v>Kecepatan pelayanan Retur Barang</v>
      </c>
      <c r="B42" s="178" t="e">
        <f>'Hasil Survei Nasional'!T14</f>
        <v>#DIV/0!</v>
      </c>
      <c r="C42" s="178" t="e">
        <f>'Hasil Survei Nasional'!U14</f>
        <v>#DIV/0!</v>
      </c>
      <c r="D42" s="178" t="e">
        <f>'Hasil Survei Nasional'!Q14</f>
        <v>#DIV/0!</v>
      </c>
      <c r="G42" s="205" t="str">
        <f>'Hasil Survei Region'!P14</f>
        <v>Kecepatan pelayanan Retur Barang</v>
      </c>
      <c r="H42" s="175" t="e">
        <f>'Hasil Survei Region'!T14</f>
        <v>#DIV/0!</v>
      </c>
      <c r="I42" s="175" t="e">
        <f>'Hasil Survei Region'!U14</f>
        <v>#DIV/0!</v>
      </c>
      <c r="J42" s="175" t="e">
        <f>'Hasil Survei Region'!Q14</f>
        <v>#DIV/0!</v>
      </c>
      <c r="M42" s="174" t="str">
        <f>'Hasil Survei Cabang'!P15</f>
        <v>Kecepatan pelayanan Retur Barang</v>
      </c>
      <c r="N42" s="175" t="e">
        <f>'Hasil Survei Cabang'!T15</f>
        <v>#DIV/0!</v>
      </c>
      <c r="O42" s="175" t="e">
        <f>'Hasil Survei Cabang'!U15</f>
        <v>#DIV/0!</v>
      </c>
      <c r="P42" s="175" t="e">
        <f>'Hasil Survei Cabang'!Q15</f>
        <v>#DIV/0!</v>
      </c>
    </row>
    <row r="43" spans="1:16" x14ac:dyDescent="0.25">
      <c r="A43" s="206"/>
      <c r="B43" s="206"/>
      <c r="C43" s="206"/>
      <c r="D43" s="206"/>
      <c r="G43" s="209"/>
      <c r="H43" s="209"/>
      <c r="I43" s="209"/>
      <c r="J43" s="209"/>
      <c r="M43" s="208"/>
      <c r="N43" s="208"/>
      <c r="O43" s="208"/>
      <c r="P43" s="208"/>
    </row>
    <row r="44" spans="1:16" x14ac:dyDescent="0.25">
      <c r="A44" s="193" t="s">
        <v>183</v>
      </c>
      <c r="B44" s="194"/>
      <c r="C44" s="194"/>
      <c r="D44" s="195"/>
      <c r="G44" s="199" t="s">
        <v>183</v>
      </c>
      <c r="H44" s="200"/>
      <c r="I44" s="200"/>
      <c r="J44" s="201"/>
      <c r="M44" s="199" t="s">
        <v>183</v>
      </c>
      <c r="N44" s="200"/>
      <c r="O44" s="200"/>
      <c r="P44" s="201"/>
    </row>
    <row r="45" spans="1:16" x14ac:dyDescent="0.25">
      <c r="A45" s="169" t="s">
        <v>190</v>
      </c>
      <c r="B45" s="170" t="s">
        <v>210</v>
      </c>
      <c r="C45" s="170" t="s">
        <v>209</v>
      </c>
      <c r="D45" s="170" t="s">
        <v>191</v>
      </c>
      <c r="G45" s="179" t="s">
        <v>190</v>
      </c>
      <c r="H45" s="180" t="s">
        <v>210</v>
      </c>
      <c r="I45" s="180" t="s">
        <v>209</v>
      </c>
      <c r="J45" s="180" t="s">
        <v>191</v>
      </c>
      <c r="M45" s="179" t="s">
        <v>190</v>
      </c>
      <c r="N45" s="180" t="s">
        <v>210</v>
      </c>
      <c r="O45" s="180" t="s">
        <v>209</v>
      </c>
      <c r="P45" s="180" t="s">
        <v>191</v>
      </c>
    </row>
    <row r="46" spans="1:16" x14ac:dyDescent="0.25">
      <c r="A46" s="171" t="str">
        <f>'Hasil Survei Nasional'!P15</f>
        <v>Penampilan Pengirim Barang</v>
      </c>
      <c r="B46" s="172" t="e">
        <f>'Hasil Survei Nasional'!T15</f>
        <v>#DIV/0!</v>
      </c>
      <c r="C46" s="172" t="e">
        <f>'Hasil Survei Nasional'!U15</f>
        <v>#DIV/0!</v>
      </c>
      <c r="D46" s="172" t="e">
        <f>'Hasil Survei Nasional'!Q15</f>
        <v>#DIV/0!</v>
      </c>
      <c r="G46" s="181" t="str">
        <f>'Hasil Survei Region'!P15</f>
        <v>Penampilan Pengirim Barang</v>
      </c>
      <c r="H46" s="182" t="e">
        <f>'Hasil Survei Region'!T15</f>
        <v>#DIV/0!</v>
      </c>
      <c r="I46" s="182" t="e">
        <f>'Hasil Survei Region'!U15</f>
        <v>#DIV/0!</v>
      </c>
      <c r="J46" s="182" t="e">
        <f>'Hasil Survei Region'!Q15</f>
        <v>#DIV/0!</v>
      </c>
      <c r="M46" s="181" t="str">
        <f>'Hasil Survei Cabang'!P16</f>
        <v>Penampilan Pengirim Barang</v>
      </c>
      <c r="N46" s="182" t="e">
        <f>'Hasil Survei Cabang'!T16</f>
        <v>#DIV/0!</v>
      </c>
      <c r="O46" s="182" t="e">
        <f>'Hasil Survei Cabang'!U16</f>
        <v>#DIV/0!</v>
      </c>
      <c r="P46" s="182" t="e">
        <f>'Hasil Survei Cabang'!Q16</f>
        <v>#DIV/0!</v>
      </c>
    </row>
    <row r="47" spans="1:16" x14ac:dyDescent="0.25">
      <c r="A47" s="171" t="str">
        <f>'Hasil Survei Nasional'!P16</f>
        <v>Kesesuaian antara pesanan dengan barang yang dikirim</v>
      </c>
      <c r="B47" s="172" t="e">
        <f>'Hasil Survei Nasional'!T16</f>
        <v>#DIV/0!</v>
      </c>
      <c r="C47" s="172" t="e">
        <f>'Hasil Survei Nasional'!U16</f>
        <v>#DIV/0!</v>
      </c>
      <c r="D47" s="172" t="e">
        <f>'Hasil Survei Nasional'!Q16</f>
        <v>#DIV/0!</v>
      </c>
      <c r="G47" s="181" t="str">
        <f>'Hasil Survei Region'!P16</f>
        <v>Kesesuaian antara pesanan dengan barang yang dikirim</v>
      </c>
      <c r="H47" s="182" t="e">
        <f>'Hasil Survei Region'!T16</f>
        <v>#DIV/0!</v>
      </c>
      <c r="I47" s="182" t="e">
        <f>'Hasil Survei Region'!U16</f>
        <v>#DIV/0!</v>
      </c>
      <c r="J47" s="182" t="e">
        <f>'Hasil Survei Region'!Q16</f>
        <v>#DIV/0!</v>
      </c>
      <c r="M47" s="181" t="str">
        <f>'Hasil Survei Cabang'!P17</f>
        <v>Kesesuaian antara pesanan dengan barang yang dikirim</v>
      </c>
      <c r="N47" s="182" t="e">
        <f>'Hasil Survei Cabang'!T17</f>
        <v>#DIV/0!</v>
      </c>
      <c r="O47" s="182" t="e">
        <f>'Hasil Survei Cabang'!U17</f>
        <v>#DIV/0!</v>
      </c>
      <c r="P47" s="182" t="e">
        <f>'Hasil Survei Cabang'!Q17</f>
        <v>#DIV/0!</v>
      </c>
    </row>
    <row r="48" spans="1:16" x14ac:dyDescent="0.25">
      <c r="A48" s="171" t="str">
        <f>'Hasil Survei Nasional'!P17</f>
        <v>Kesesuaian Pengiriman Produk Suhu Khusus dengan CDOB</v>
      </c>
      <c r="B48" s="172" t="e">
        <f>'Hasil Survei Nasional'!T17</f>
        <v>#DIV/0!</v>
      </c>
      <c r="C48" s="172" t="e">
        <f>'Hasil Survei Nasional'!U17</f>
        <v>#DIV/0!</v>
      </c>
      <c r="D48" s="172" t="e">
        <f>'Hasil Survei Nasional'!Q17</f>
        <v>#DIV/0!</v>
      </c>
      <c r="G48" s="181" t="str">
        <f>'Hasil Survei Region'!P17</f>
        <v>Kesesuaian Pengiriman Produk Suhu Khusus dengan CDOB</v>
      </c>
      <c r="H48" s="182" t="e">
        <f>'Hasil Survei Region'!T17</f>
        <v>#DIV/0!</v>
      </c>
      <c r="I48" s="182" t="e">
        <f>'Hasil Survei Region'!U17</f>
        <v>#DIV/0!</v>
      </c>
      <c r="J48" s="182" t="e">
        <f>'Hasil Survei Region'!Q17</f>
        <v>#DIV/0!</v>
      </c>
      <c r="M48" s="181" t="str">
        <f>'Hasil Survei Cabang'!P18</f>
        <v>Kesesuaian Pengiriman Produk Suhu Khusus dengan CDOB</v>
      </c>
      <c r="N48" s="182" t="e">
        <f>'Hasil Survei Cabang'!T18</f>
        <v>#DIV/0!</v>
      </c>
      <c r="O48" s="182" t="e">
        <f>'Hasil Survei Cabang'!U18</f>
        <v>#DIV/0!</v>
      </c>
      <c r="P48" s="182" t="e">
        <f>'Hasil Survei Cabang'!Q18</f>
        <v>#DIV/0!</v>
      </c>
    </row>
    <row r="49" spans="1:16" x14ac:dyDescent="0.25">
      <c r="A49" s="171" t="str">
        <f>'Hasil Survei Nasional'!P18</f>
        <v>Ketepatan waktu dalam pengiriman barang sesuai dengan janji</v>
      </c>
      <c r="B49" s="172" t="e">
        <f>'Hasil Survei Nasional'!T18</f>
        <v>#DIV/0!</v>
      </c>
      <c r="C49" s="172" t="e">
        <f>'Hasil Survei Nasional'!U18</f>
        <v>#DIV/0!</v>
      </c>
      <c r="D49" s="172" t="e">
        <f>'Hasil Survei Nasional'!Q18</f>
        <v>#DIV/0!</v>
      </c>
      <c r="G49" s="181" t="str">
        <f>'Hasil Survei Region'!P18</f>
        <v>Ketepatan waktu dalam pengiriman barang sesuai dengan janji</v>
      </c>
      <c r="H49" s="182" t="e">
        <f>'Hasil Survei Region'!T18</f>
        <v>#DIV/0!</v>
      </c>
      <c r="I49" s="182" t="e">
        <f>'Hasil Survei Region'!U18</f>
        <v>#DIV/0!</v>
      </c>
      <c r="J49" s="182" t="e">
        <f>'Hasil Survei Region'!Q18</f>
        <v>#DIV/0!</v>
      </c>
      <c r="M49" s="181" t="str">
        <f>'Hasil Survei Cabang'!P19</f>
        <v>Ketepatan waktu dalam pengiriman barang sesuai dengan janji</v>
      </c>
      <c r="N49" s="182" t="e">
        <f>'Hasil Survei Cabang'!T19</f>
        <v>#DIV/0!</v>
      </c>
      <c r="O49" s="182" t="e">
        <f>'Hasil Survei Cabang'!U19</f>
        <v>#DIV/0!</v>
      </c>
      <c r="P49" s="182" t="e">
        <f>'Hasil Survei Cabang'!Q19</f>
        <v>#DIV/0!</v>
      </c>
    </row>
    <row r="50" spans="1:16" x14ac:dyDescent="0.25">
      <c r="A50" s="171" t="str">
        <f>'Hasil Survei Nasional'!P19</f>
        <v>Kejelasan dokumen Pngiriman</v>
      </c>
      <c r="B50" s="172" t="e">
        <f>'Hasil Survei Nasional'!T19</f>
        <v>#DIV/0!</v>
      </c>
      <c r="C50" s="172" t="e">
        <f>'Hasil Survei Nasional'!U19</f>
        <v>#DIV/0!</v>
      </c>
      <c r="D50" s="172" t="e">
        <f>'Hasil Survei Nasional'!Q19</f>
        <v>#DIV/0!</v>
      </c>
      <c r="G50" s="181" t="str">
        <f>'Hasil Survei Region'!P19</f>
        <v>Kejelasan dokumen Pngiriman</v>
      </c>
      <c r="H50" s="182" t="e">
        <f>'Hasil Survei Region'!T19</f>
        <v>#DIV/0!</v>
      </c>
      <c r="I50" s="182" t="e">
        <f>'Hasil Survei Region'!U19</f>
        <v>#DIV/0!</v>
      </c>
      <c r="J50" s="182" t="e">
        <f>'Hasil Survei Region'!Q19</f>
        <v>#DIV/0!</v>
      </c>
      <c r="M50" s="181" t="str">
        <f>'Hasil Survei Cabang'!P20</f>
        <v>Kejelasan dokumen Pngiriman</v>
      </c>
      <c r="N50" s="182" t="e">
        <f>'Hasil Survei Cabang'!T20</f>
        <v>#DIV/0!</v>
      </c>
      <c r="O50" s="182" t="e">
        <f>'Hasil Survei Cabang'!U20</f>
        <v>#DIV/0!</v>
      </c>
      <c r="P50" s="182" t="e">
        <f>'Hasil Survei Cabang'!Q20</f>
        <v>#DIV/0!</v>
      </c>
    </row>
    <row r="51" spans="1:16" x14ac:dyDescent="0.25">
      <c r="A51" s="206"/>
      <c r="B51" s="206"/>
      <c r="C51" s="206"/>
      <c r="D51" s="206"/>
      <c r="G51" s="209"/>
      <c r="H51" s="209"/>
      <c r="I51" s="209"/>
      <c r="J51" s="209"/>
      <c r="M51" s="208"/>
      <c r="N51" s="208"/>
      <c r="O51" s="208"/>
      <c r="P51" s="208"/>
    </row>
    <row r="52" spans="1:16" x14ac:dyDescent="0.25">
      <c r="A52" s="196" t="s">
        <v>184</v>
      </c>
      <c r="B52" s="197"/>
      <c r="C52" s="197"/>
      <c r="D52" s="198"/>
      <c r="G52" s="196" t="s">
        <v>184</v>
      </c>
      <c r="H52" s="197"/>
      <c r="I52" s="197"/>
      <c r="J52" s="198"/>
      <c r="M52" s="196" t="s">
        <v>184</v>
      </c>
      <c r="N52" s="197"/>
      <c r="O52" s="197"/>
      <c r="P52" s="198"/>
    </row>
    <row r="53" spans="1:16" x14ac:dyDescent="0.25">
      <c r="A53" s="173" t="s">
        <v>190</v>
      </c>
      <c r="B53" s="100" t="s">
        <v>210</v>
      </c>
      <c r="C53" s="100" t="s">
        <v>209</v>
      </c>
      <c r="D53" s="100" t="s">
        <v>191</v>
      </c>
      <c r="G53" s="173" t="s">
        <v>190</v>
      </c>
      <c r="H53" s="100" t="s">
        <v>210</v>
      </c>
      <c r="I53" s="100" t="s">
        <v>209</v>
      </c>
      <c r="J53" s="100" t="s">
        <v>191</v>
      </c>
      <c r="M53" s="173" t="s">
        <v>190</v>
      </c>
      <c r="N53" s="100" t="s">
        <v>210</v>
      </c>
      <c r="O53" s="100" t="s">
        <v>209</v>
      </c>
      <c r="P53" s="100" t="s">
        <v>191</v>
      </c>
    </row>
    <row r="54" spans="1:16" x14ac:dyDescent="0.25">
      <c r="A54" s="174" t="str">
        <f>'Hasil Survei Nasional'!P20</f>
        <v>Penampilan penagih</v>
      </c>
      <c r="B54" s="175" t="e">
        <f>'Hasil Survei Nasional'!T20</f>
        <v>#DIV/0!</v>
      </c>
      <c r="C54" s="175" t="e">
        <f>'Hasil Survei Nasional'!U20</f>
        <v>#DIV/0!</v>
      </c>
      <c r="D54" s="175" t="e">
        <f>'Hasil Survei Nasional'!Q20</f>
        <v>#DIV/0!</v>
      </c>
      <c r="F54" s="63"/>
      <c r="G54" s="205" t="str">
        <f>'Hasil Survei Region'!P20</f>
        <v>Penampilan penagih</v>
      </c>
      <c r="H54" s="175" t="e">
        <f>'Hasil Survei Region'!T20</f>
        <v>#DIV/0!</v>
      </c>
      <c r="I54" s="175" t="e">
        <f>'Hasil Survei Region'!U20</f>
        <v>#DIV/0!</v>
      </c>
      <c r="J54" s="175" t="e">
        <f>'Hasil Survei Region'!Q20</f>
        <v>#DIV/0!</v>
      </c>
      <c r="M54" s="174" t="str">
        <f>'Hasil Survei Cabang'!P21</f>
        <v>Penampilan penagih</v>
      </c>
      <c r="N54" s="175" t="e">
        <f>'Hasil Survei Cabang'!T21</f>
        <v>#DIV/0!</v>
      </c>
      <c r="O54" s="175" t="e">
        <f>'Hasil Survei Cabang'!U21</f>
        <v>#DIV/0!</v>
      </c>
      <c r="P54" s="175" t="e">
        <f>'Hasil Survei Cabang'!Q21</f>
        <v>#DIV/0!</v>
      </c>
    </row>
    <row r="55" spans="1:16" x14ac:dyDescent="0.25">
      <c r="A55" s="174" t="str">
        <f>'Hasil Survei Nasional'!P21</f>
        <v>Ketepatan Waktu Kunjungan Penagih</v>
      </c>
      <c r="B55" s="175" t="e">
        <f>'Hasil Survei Nasional'!T21</f>
        <v>#DIV/0!</v>
      </c>
      <c r="C55" s="175" t="e">
        <f>'Hasil Survei Nasional'!U21</f>
        <v>#DIV/0!</v>
      </c>
      <c r="D55" s="175" t="e">
        <f>'Hasil Survei Nasional'!Q21</f>
        <v>#DIV/0!</v>
      </c>
      <c r="F55" s="63"/>
      <c r="G55" s="205" t="str">
        <f>'Hasil Survei Region'!P21</f>
        <v>Ketepatan Waktu Kunjungan Penagih</v>
      </c>
      <c r="H55" s="175" t="e">
        <f>'Hasil Survei Region'!T21</f>
        <v>#DIV/0!</v>
      </c>
      <c r="I55" s="175" t="e">
        <f>'Hasil Survei Region'!U21</f>
        <v>#DIV/0!</v>
      </c>
      <c r="J55" s="175" t="e">
        <f>'Hasil Survei Region'!Q21</f>
        <v>#DIV/0!</v>
      </c>
      <c r="M55" s="174" t="str">
        <f>'Hasil Survei Cabang'!P22</f>
        <v>Ketepatan Waktu Kunjungan Penagih</v>
      </c>
      <c r="N55" s="175" t="e">
        <f>'Hasil Survei Cabang'!T22</f>
        <v>#DIV/0!</v>
      </c>
      <c r="O55" s="175" t="e">
        <f>'Hasil Survei Cabang'!U22</f>
        <v>#DIV/0!</v>
      </c>
      <c r="P55" s="175" t="e">
        <f>'Hasil Survei Cabang'!Q22</f>
        <v>#DIV/0!</v>
      </c>
    </row>
    <row r="56" spans="1:16" x14ac:dyDescent="0.25">
      <c r="A56" s="174" t="str">
        <f>'Hasil Survei Nasional'!P22</f>
        <v>Kelengkapan dokumen Penagihan</v>
      </c>
      <c r="B56" s="175" t="e">
        <f>'Hasil Survei Nasional'!T22</f>
        <v>#DIV/0!</v>
      </c>
      <c r="C56" s="175" t="e">
        <f>'Hasil Survei Nasional'!U22</f>
        <v>#DIV/0!</v>
      </c>
      <c r="D56" s="175" t="e">
        <f>'Hasil Survei Nasional'!Q22</f>
        <v>#DIV/0!</v>
      </c>
      <c r="F56" s="63"/>
      <c r="G56" s="205" t="str">
        <f>'Hasil Survei Region'!P22</f>
        <v>Kelengkapan dokumen Penagihan</v>
      </c>
      <c r="H56" s="175" t="e">
        <f>'Hasil Survei Region'!T22</f>
        <v>#DIV/0!</v>
      </c>
      <c r="I56" s="175" t="e">
        <f>'Hasil Survei Region'!U22</f>
        <v>#DIV/0!</v>
      </c>
      <c r="J56" s="175" t="e">
        <f>'Hasil Survei Region'!Q22</f>
        <v>#DIV/0!</v>
      </c>
      <c r="M56" s="174" t="str">
        <f>'Hasil Survei Cabang'!P23</f>
        <v>Kelengkapan dokumen Penagihan</v>
      </c>
      <c r="N56" s="175" t="e">
        <f>'Hasil Survei Cabang'!T23</f>
        <v>#DIV/0!</v>
      </c>
      <c r="O56" s="175" t="e">
        <f>'Hasil Survei Cabang'!U23</f>
        <v>#DIV/0!</v>
      </c>
      <c r="P56" s="175" t="e">
        <f>'Hasil Survei Cabang'!Q23</f>
        <v>#DIV/0!</v>
      </c>
    </row>
    <row r="57" spans="1:16" x14ac:dyDescent="0.25">
      <c r="A57" s="206"/>
      <c r="B57" s="206"/>
      <c r="C57" s="206"/>
      <c r="D57" s="206"/>
      <c r="G57" s="209"/>
      <c r="H57" s="209"/>
      <c r="I57" s="209"/>
      <c r="J57" s="209"/>
      <c r="M57" s="208"/>
      <c r="N57" s="208"/>
      <c r="O57" s="208"/>
      <c r="P57" s="208"/>
    </row>
    <row r="58" spans="1:16" x14ac:dyDescent="0.25">
      <c r="A58" s="202" t="s">
        <v>185</v>
      </c>
      <c r="B58" s="203"/>
      <c r="C58" s="203"/>
      <c r="D58" s="204"/>
      <c r="G58" s="202" t="s">
        <v>185</v>
      </c>
      <c r="H58" s="203"/>
      <c r="I58" s="203"/>
      <c r="J58" s="204"/>
      <c r="M58" s="202" t="s">
        <v>185</v>
      </c>
      <c r="N58" s="203"/>
      <c r="O58" s="203"/>
      <c r="P58" s="204"/>
    </row>
    <row r="59" spans="1:16" x14ac:dyDescent="0.25">
      <c r="A59" s="167" t="s">
        <v>190</v>
      </c>
      <c r="B59" s="105" t="s">
        <v>210</v>
      </c>
      <c r="C59" s="105" t="s">
        <v>209</v>
      </c>
      <c r="D59" s="105" t="s">
        <v>191</v>
      </c>
      <c r="G59" s="167" t="s">
        <v>190</v>
      </c>
      <c r="H59" s="105" t="s">
        <v>210</v>
      </c>
      <c r="I59" s="105" t="s">
        <v>209</v>
      </c>
      <c r="J59" s="105" t="s">
        <v>191</v>
      </c>
      <c r="M59" s="167" t="s">
        <v>190</v>
      </c>
      <c r="N59" s="105" t="s">
        <v>210</v>
      </c>
      <c r="O59" s="105" t="s">
        <v>209</v>
      </c>
      <c r="P59" s="105" t="s">
        <v>191</v>
      </c>
    </row>
    <row r="60" spans="1:16" x14ac:dyDescent="0.25">
      <c r="A60" s="168" t="str">
        <f>'Hasil Survei Nasional'!P23</f>
        <v>Kemudahan untuk menghubungi nomor telepon Enseval Customer Care (ECC)</v>
      </c>
      <c r="B60" s="106" t="e">
        <f>'Hasil Survei Nasional'!T23</f>
        <v>#DIV/0!</v>
      </c>
      <c r="C60" s="106" t="e">
        <f>'Hasil Survei Nasional'!U23</f>
        <v>#DIV/0!</v>
      </c>
      <c r="D60" s="106" t="e">
        <f>'Hasil Survei Nasional'!Q23</f>
        <v>#DIV/0!</v>
      </c>
      <c r="G60" s="168" t="str">
        <f>'Hasil Survei Region'!P23</f>
        <v>Kemudahan untuk menghubungi nomor telepon Enseval Customer Care (ECC)</v>
      </c>
      <c r="H60" s="106" t="e">
        <f>'Hasil Survei Region'!T23</f>
        <v>#DIV/0!</v>
      </c>
      <c r="I60" s="106" t="e">
        <f>'Hasil Survei Region'!U23</f>
        <v>#DIV/0!</v>
      </c>
      <c r="J60" s="106" t="e">
        <f>'Hasil Survei Region'!Q23</f>
        <v>#DIV/0!</v>
      </c>
      <c r="M60" s="168" t="str">
        <f>'Hasil Survei Cabang'!P24</f>
        <v>Kemudahan untuk menghubungi nomor telepon Enseval Customer Care (ECC)</v>
      </c>
      <c r="N60" s="106" t="e">
        <f>'Hasil Survei Cabang'!T24</f>
        <v>#DIV/0!</v>
      </c>
      <c r="O60" s="106" t="e">
        <f>'Hasil Survei Cabang'!U24</f>
        <v>#DIV/0!</v>
      </c>
      <c r="P60" s="106" t="e">
        <f>'Hasil Survei Cabang'!Q24</f>
        <v>#DIV/0!</v>
      </c>
    </row>
    <row r="61" spans="1:16" x14ac:dyDescent="0.25">
      <c r="A61" s="168" t="str">
        <f>'Hasil Survei Nasional'!P24</f>
        <v>Kecepatan petugas ECC dalam penerimaan Telepon</v>
      </c>
      <c r="B61" s="106" t="e">
        <f>'Hasil Survei Nasional'!T24</f>
        <v>#DIV/0!</v>
      </c>
      <c r="C61" s="106" t="e">
        <f>'Hasil Survei Nasional'!U24</f>
        <v>#DIV/0!</v>
      </c>
      <c r="D61" s="106" t="e">
        <f>'Hasil Survei Nasional'!Q24</f>
        <v>#DIV/0!</v>
      </c>
      <c r="G61" s="168" t="str">
        <f>'Hasil Survei Region'!P24</f>
        <v>Kecepatan petugas ECC dalam penerimaan Telepon</v>
      </c>
      <c r="H61" s="106" t="e">
        <f>'Hasil Survei Region'!T24</f>
        <v>#DIV/0!</v>
      </c>
      <c r="I61" s="106" t="e">
        <f>'Hasil Survei Region'!U24</f>
        <v>#DIV/0!</v>
      </c>
      <c r="J61" s="106" t="e">
        <f>'Hasil Survei Region'!Q24</f>
        <v>#DIV/0!</v>
      </c>
      <c r="M61" s="168" t="str">
        <f>'Hasil Survei Cabang'!P25</f>
        <v>Kecepatan petugas ECC dalam penerimaan Telepon</v>
      </c>
      <c r="N61" s="106" t="e">
        <f>'Hasil Survei Cabang'!T25</f>
        <v>#DIV/0!</v>
      </c>
      <c r="O61" s="106" t="e">
        <f>'Hasil Survei Cabang'!U25</f>
        <v>#DIV/0!</v>
      </c>
      <c r="P61" s="106" t="e">
        <f>'Hasil Survei Cabang'!Q25</f>
        <v>#DIV/0!</v>
      </c>
    </row>
    <row r="62" spans="1:16" x14ac:dyDescent="0.25">
      <c r="A62" s="168" t="str">
        <f>'Hasil Survei Nasional'!P25</f>
        <v xml:space="preserve">Keramahan Petugas ECC pada saat terima Telepon </v>
      </c>
      <c r="B62" s="106" t="e">
        <f>'Hasil Survei Nasional'!T25</f>
        <v>#DIV/0!</v>
      </c>
      <c r="C62" s="106" t="e">
        <f>'Hasil Survei Nasional'!U25</f>
        <v>#DIV/0!</v>
      </c>
      <c r="D62" s="106" t="e">
        <f>'Hasil Survei Nasional'!Q25</f>
        <v>#DIV/0!</v>
      </c>
      <c r="G62" s="168" t="str">
        <f>'Hasil Survei Region'!P25</f>
        <v xml:space="preserve">Keramahan Petugas ECC pada saat terima Telepon </v>
      </c>
      <c r="H62" s="106" t="e">
        <f>'Hasil Survei Region'!T25</f>
        <v>#DIV/0!</v>
      </c>
      <c r="I62" s="106" t="e">
        <f>'Hasil Survei Region'!U25</f>
        <v>#DIV/0!</v>
      </c>
      <c r="J62" s="106" t="e">
        <f>'Hasil Survei Region'!Q25</f>
        <v>#DIV/0!</v>
      </c>
      <c r="M62" s="168" t="str">
        <f>'Hasil Survei Cabang'!P26</f>
        <v xml:space="preserve">Keramahan Petugas ECC pada saat terima Telepon </v>
      </c>
      <c r="N62" s="106" t="e">
        <f>'Hasil Survei Cabang'!T26</f>
        <v>#DIV/0!</v>
      </c>
      <c r="O62" s="106" t="e">
        <f>'Hasil Survei Cabang'!U26</f>
        <v>#DIV/0!</v>
      </c>
      <c r="P62" s="106" t="e">
        <f>'Hasil Survei Cabang'!Q26</f>
        <v>#DIV/0!</v>
      </c>
    </row>
    <row r="63" spans="1:16" x14ac:dyDescent="0.25">
      <c r="A63" s="168" t="str">
        <f>'Hasil Survei Nasional'!P26</f>
        <v>Pemahaman/pengetahuan mengenai produk oleh petugas ECC</v>
      </c>
      <c r="B63" s="106" t="e">
        <f>'Hasil Survei Nasional'!T26</f>
        <v>#DIV/0!</v>
      </c>
      <c r="C63" s="106" t="e">
        <f>'Hasil Survei Nasional'!U26</f>
        <v>#DIV/0!</v>
      </c>
      <c r="D63" s="106" t="e">
        <f>'Hasil Survei Nasional'!Q26</f>
        <v>#DIV/0!</v>
      </c>
      <c r="G63" s="168" t="str">
        <f>'Hasil Survei Region'!P26</f>
        <v>Pemahaman/pengetahuan mengenai produk oleh petugas ECC</v>
      </c>
      <c r="H63" s="106" t="e">
        <f>'Hasil Survei Region'!T26</f>
        <v>#DIV/0!</v>
      </c>
      <c r="I63" s="106" t="e">
        <f>'Hasil Survei Region'!U26</f>
        <v>#DIV/0!</v>
      </c>
      <c r="J63" s="106" t="e">
        <f>'Hasil Survei Region'!Q26</f>
        <v>#DIV/0!</v>
      </c>
      <c r="M63" s="168" t="str">
        <f>'Hasil Survei Cabang'!P27</f>
        <v>Pemahaman/pengetahuan mengenai produk oleh petugas ECC</v>
      </c>
      <c r="N63" s="106" t="e">
        <f>'Hasil Survei Cabang'!T27</f>
        <v>#DIV/0!</v>
      </c>
      <c r="O63" s="106" t="e">
        <f>'Hasil Survei Cabang'!U27</f>
        <v>#DIV/0!</v>
      </c>
      <c r="P63" s="106" t="e">
        <f>'Hasil Survei Cabang'!Q27</f>
        <v>#DIV/0!</v>
      </c>
    </row>
    <row r="64" spans="1:16" x14ac:dyDescent="0.25">
      <c r="A64" s="168" t="str">
        <f>'Hasil Survei Nasional'!P27</f>
        <v>Ketanggapan petugas ECC menerima keluhan pelanggan</v>
      </c>
      <c r="B64" s="106" t="e">
        <f>'Hasil Survei Nasional'!T27</f>
        <v>#DIV/0!</v>
      </c>
      <c r="C64" s="106" t="e">
        <f>'Hasil Survei Nasional'!U27</f>
        <v>#DIV/0!</v>
      </c>
      <c r="D64" s="106" t="e">
        <f>'Hasil Survei Nasional'!Q27</f>
        <v>#DIV/0!</v>
      </c>
      <c r="G64" s="168" t="str">
        <f>'Hasil Survei Region'!P27</f>
        <v>Ketanggapan petugas ECC menerima keluhan pelanggan</v>
      </c>
      <c r="H64" s="106" t="e">
        <f>'Hasil Survei Region'!T27</f>
        <v>#DIV/0!</v>
      </c>
      <c r="I64" s="106" t="e">
        <f>'Hasil Survei Region'!U27</f>
        <v>#DIV/0!</v>
      </c>
      <c r="J64" s="106" t="e">
        <f>'Hasil Survei Region'!Q27</f>
        <v>#DIV/0!</v>
      </c>
      <c r="M64" s="168" t="str">
        <f>'Hasil Survei Cabang'!P28</f>
        <v>Ketanggapan petugas ECC menerima keluhan pelanggan</v>
      </c>
      <c r="N64" s="106" t="e">
        <f>'Hasil Survei Cabang'!T28</f>
        <v>#DIV/0!</v>
      </c>
      <c r="O64" s="106" t="e">
        <f>'Hasil Survei Cabang'!U28</f>
        <v>#DIV/0!</v>
      </c>
      <c r="P64" s="106" t="e">
        <f>'Hasil Survei Cabang'!Q28</f>
        <v>#DIV/0!</v>
      </c>
    </row>
    <row r="65" spans="1:16" x14ac:dyDescent="0.25">
      <c r="A65" s="168" t="str">
        <f>'Hasil Survei Nasional'!P28</f>
        <v>Kecepatan petugas ECC dalam memberi informasi dan memfollow up keluhan pelanggan</v>
      </c>
      <c r="B65" s="106" t="e">
        <f>'Hasil Survei Nasional'!T28</f>
        <v>#DIV/0!</v>
      </c>
      <c r="C65" s="106" t="e">
        <f>'Hasil Survei Nasional'!U28</f>
        <v>#DIV/0!</v>
      </c>
      <c r="D65" s="106" t="e">
        <f>'Hasil Survei Nasional'!Q28</f>
        <v>#DIV/0!</v>
      </c>
      <c r="G65" s="168" t="str">
        <f>'Hasil Survei Region'!P28</f>
        <v>Kecepatan petugas ECC dalam memberi informasi dan memfollow up keluhan pelanggan</v>
      </c>
      <c r="H65" s="106" t="e">
        <f>'Hasil Survei Region'!T28</f>
        <v>#DIV/0!</v>
      </c>
      <c r="I65" s="106" t="e">
        <f>'Hasil Survei Region'!U28</f>
        <v>#DIV/0!</v>
      </c>
      <c r="J65" s="106" t="e">
        <f>'Hasil Survei Region'!Q28</f>
        <v>#DIV/0!</v>
      </c>
      <c r="M65" s="168" t="str">
        <f>'Hasil Survei Cabang'!P29</f>
        <v>Kecepatan petugas ECC dalam memberi informasi dan memfollow up keluhan pelanggan</v>
      </c>
      <c r="N65" s="106" t="e">
        <f>'Hasil Survei Cabang'!T29</f>
        <v>#DIV/0!</v>
      </c>
      <c r="O65" s="106" t="e">
        <f>'Hasil Survei Cabang'!U29</f>
        <v>#DIV/0!</v>
      </c>
      <c r="P65" s="106" t="e">
        <f>'Hasil Survei Cabang'!Q29</f>
        <v>#DIV/0!</v>
      </c>
    </row>
    <row r="66" spans="1:16" x14ac:dyDescent="0.25">
      <c r="A66" s="54"/>
      <c r="G66" s="54"/>
    </row>
  </sheetData>
  <sheetProtection selectLockedCells="1"/>
  <mergeCells count="7">
    <mergeCell ref="A4:D5"/>
    <mergeCell ref="A30:D31"/>
    <mergeCell ref="G4:J5"/>
    <mergeCell ref="G30:J31"/>
    <mergeCell ref="A1:P2"/>
    <mergeCell ref="M4:P5"/>
    <mergeCell ref="M30:P31"/>
  </mergeCells>
  <dataValidations count="3">
    <dataValidation allowBlank="1" showInputMessage="1" showErrorMessage="1" promptTitle="Keterangan" prompt="Hasil rekap nasional" sqref="B6:D26"/>
    <dataValidation allowBlank="1" showInputMessage="1" showErrorMessage="1" promptTitle="Keterangan" prompt="Hasil rekap regional" sqref="H6:J26"/>
    <dataValidation allowBlank="1" showInputMessage="1" showErrorMessage="1" promptTitle="Keterangan" prompt="Hasil rekap cabang" sqref="N6:P26"/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72"/>
  <sheetViews>
    <sheetView zoomScale="80" zoomScaleNormal="80" workbookViewId="0">
      <selection activeCell="D12" sqref="D12"/>
    </sheetView>
  </sheetViews>
  <sheetFormatPr defaultRowHeight="15" x14ac:dyDescent="0.25"/>
  <cols>
    <col min="1" max="1" width="81.42578125" bestFit="1" customWidth="1"/>
    <col min="2" max="2" width="14.5703125" customWidth="1"/>
    <col min="3" max="3" width="72.140625" customWidth="1"/>
    <col min="4" max="4" width="16" customWidth="1"/>
    <col min="5" max="5" width="94.42578125" customWidth="1"/>
    <col min="6" max="10" width="3.42578125" customWidth="1"/>
    <col min="11" max="21" width="4.42578125" customWidth="1"/>
    <col min="22" max="22" width="11.28515625" bestFit="1" customWidth="1"/>
  </cols>
  <sheetData>
    <row r="1" spans="1:21" s="54" customFormat="1" ht="15" customHeight="1" x14ac:dyDescent="0.25">
      <c r="A1" s="317" t="s">
        <v>199</v>
      </c>
      <c r="B1" s="317"/>
      <c r="C1" s="317"/>
      <c r="D1" s="317"/>
      <c r="E1" s="317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</row>
    <row r="2" spans="1:21" s="54" customFormat="1" ht="15" customHeight="1" x14ac:dyDescent="0.25">
      <c r="A2" s="317"/>
      <c r="B2" s="317"/>
      <c r="C2" s="317"/>
      <c r="D2" s="317"/>
      <c r="E2" s="317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</row>
    <row r="3" spans="1:21" s="54" customFormat="1" x14ac:dyDescent="0.25">
      <c r="A3" s="62" t="s">
        <v>13</v>
      </c>
      <c r="B3" s="54" t="s">
        <v>174</v>
      </c>
    </row>
    <row r="4" spans="1:21" x14ac:dyDescent="0.25">
      <c r="A4" s="62" t="s">
        <v>8</v>
      </c>
      <c r="B4" s="54" t="s">
        <v>174</v>
      </c>
    </row>
    <row r="5" spans="1:21" x14ac:dyDescent="0.25">
      <c r="A5" s="62" t="s">
        <v>9</v>
      </c>
      <c r="B5" s="54" t="s">
        <v>174</v>
      </c>
    </row>
    <row r="7" spans="1:21" ht="30" x14ac:dyDescent="0.25">
      <c r="A7" s="68" t="s">
        <v>175</v>
      </c>
      <c r="B7" s="67" t="s">
        <v>177</v>
      </c>
      <c r="E7" s="54" t="s">
        <v>200</v>
      </c>
    </row>
    <row r="8" spans="1:21" x14ac:dyDescent="0.25">
      <c r="A8" s="63" t="s">
        <v>162</v>
      </c>
      <c r="B8" s="69">
        <v>294</v>
      </c>
    </row>
    <row r="9" spans="1:21" x14ac:dyDescent="0.25">
      <c r="A9" s="63" t="s">
        <v>38</v>
      </c>
      <c r="B9" s="69">
        <v>62</v>
      </c>
    </row>
    <row r="10" spans="1:21" x14ac:dyDescent="0.25">
      <c r="A10" s="63" t="s">
        <v>197</v>
      </c>
      <c r="B10" s="69">
        <v>5</v>
      </c>
    </row>
    <row r="11" spans="1:21" x14ac:dyDescent="0.25">
      <c r="A11" s="63" t="s">
        <v>176</v>
      </c>
      <c r="B11" s="69">
        <v>361</v>
      </c>
    </row>
    <row r="18" spans="1:21" s="54" customFormat="1" x14ac:dyDescent="0.25"/>
    <row r="19" spans="1:21" s="54" customFormat="1" ht="15" customHeight="1" x14ac:dyDescent="0.25"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</row>
    <row r="20" spans="1:21" ht="15" customHeight="1" x14ac:dyDescent="0.25"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</row>
    <row r="21" spans="1:21" x14ac:dyDescent="0.25">
      <c r="A21" s="313" t="s">
        <v>180</v>
      </c>
      <c r="B21" s="313"/>
      <c r="C21" s="313"/>
      <c r="D21" s="313"/>
      <c r="E21" s="313"/>
    </row>
    <row r="22" spans="1:21" s="54" customFormat="1" ht="23.25" customHeight="1" x14ac:dyDescent="0.25">
      <c r="A22" s="313"/>
      <c r="B22" s="313"/>
      <c r="C22" s="313"/>
      <c r="D22" s="313"/>
      <c r="E22" s="313"/>
    </row>
    <row r="23" spans="1:21" ht="24" customHeight="1" x14ac:dyDescent="0.35">
      <c r="A23" s="75" t="s">
        <v>110</v>
      </c>
    </row>
    <row r="24" spans="1:21" ht="22.5" customHeight="1" x14ac:dyDescent="0.35">
      <c r="A24" s="75" t="s">
        <v>67</v>
      </c>
    </row>
    <row r="26" spans="1:21" x14ac:dyDescent="0.25">
      <c r="A26" s="71"/>
      <c r="C26" s="65" t="s">
        <v>163</v>
      </c>
      <c r="E26" s="65" t="s">
        <v>9</v>
      </c>
    </row>
    <row r="27" spans="1:21" x14ac:dyDescent="0.25">
      <c r="A27" s="314" t="s">
        <v>178</v>
      </c>
      <c r="C27" s="315" t="s">
        <v>165</v>
      </c>
      <c r="E27" s="316" t="s">
        <v>71</v>
      </c>
    </row>
    <row r="28" spans="1:21" x14ac:dyDescent="0.25">
      <c r="A28" s="314"/>
      <c r="C28" s="315"/>
      <c r="E28" s="316"/>
    </row>
    <row r="29" spans="1:21" x14ac:dyDescent="0.25">
      <c r="A29" s="62" t="s">
        <v>179</v>
      </c>
      <c r="C29" s="62" t="s">
        <v>179</v>
      </c>
      <c r="E29" s="62" t="s">
        <v>179</v>
      </c>
    </row>
    <row r="30" spans="1:21" x14ac:dyDescent="0.25">
      <c r="A30" s="63">
        <v>1</v>
      </c>
      <c r="C30" s="63">
        <v>1</v>
      </c>
      <c r="E30" s="63">
        <v>1</v>
      </c>
    </row>
    <row r="31" spans="1:21" x14ac:dyDescent="0.25">
      <c r="A31" s="64" t="s">
        <v>55</v>
      </c>
      <c r="C31" s="64" t="s">
        <v>55</v>
      </c>
      <c r="E31" s="64" t="s">
        <v>59</v>
      </c>
    </row>
    <row r="32" spans="1:21" x14ac:dyDescent="0.25">
      <c r="A32" s="63">
        <v>2</v>
      </c>
      <c r="C32" s="63">
        <v>2</v>
      </c>
      <c r="E32" s="63">
        <v>2</v>
      </c>
    </row>
    <row r="33" spans="1:7" x14ac:dyDescent="0.25">
      <c r="A33" s="64" t="s">
        <v>59</v>
      </c>
      <c r="C33" s="64" t="s">
        <v>4</v>
      </c>
      <c r="E33" s="64" t="s">
        <v>63</v>
      </c>
    </row>
    <row r="34" spans="1:7" x14ac:dyDescent="0.25">
      <c r="A34" s="63">
        <v>3</v>
      </c>
      <c r="C34" s="64" t="s">
        <v>1</v>
      </c>
      <c r="E34" s="63">
        <v>3</v>
      </c>
    </row>
    <row r="35" spans="1:7" x14ac:dyDescent="0.25">
      <c r="A35" s="64" t="s">
        <v>4</v>
      </c>
      <c r="E35" s="64" t="s">
        <v>61</v>
      </c>
    </row>
    <row r="39" spans="1:7" s="54" customFormat="1" x14ac:dyDescent="0.25">
      <c r="A39"/>
      <c r="B39"/>
      <c r="C39"/>
      <c r="D39"/>
      <c r="E39"/>
      <c r="F39"/>
      <c r="G39"/>
    </row>
    <row r="40" spans="1:7" s="54" customFormat="1" x14ac:dyDescent="0.25">
      <c r="A40" s="313" t="s">
        <v>198</v>
      </c>
      <c r="B40" s="313"/>
      <c r="C40" s="313"/>
      <c r="D40" s="313"/>
      <c r="E40" s="313"/>
      <c r="F40"/>
      <c r="G40"/>
    </row>
    <row r="41" spans="1:7" x14ac:dyDescent="0.25">
      <c r="A41" s="313"/>
      <c r="B41" s="313"/>
      <c r="C41" s="313"/>
      <c r="D41" s="313"/>
      <c r="E41" s="313"/>
    </row>
    <row r="43" spans="1:7" x14ac:dyDescent="0.25">
      <c r="A43" s="314" t="str">
        <f>A27</f>
        <v>Nasional</v>
      </c>
      <c r="C43" s="315" t="str">
        <f>C27</f>
        <v>Tengah</v>
      </c>
      <c r="E43" s="316" t="str">
        <f>E27</f>
        <v>BDG</v>
      </c>
    </row>
    <row r="44" spans="1:7" x14ac:dyDescent="0.25">
      <c r="A44" s="314"/>
      <c r="C44" s="315"/>
      <c r="E44" s="316"/>
    </row>
    <row r="45" spans="1:7" x14ac:dyDescent="0.25">
      <c r="A45" s="65" t="s">
        <v>181</v>
      </c>
      <c r="C45" s="65" t="s">
        <v>181</v>
      </c>
      <c r="E45" s="65" t="s">
        <v>181</v>
      </c>
    </row>
    <row r="46" spans="1:7" x14ac:dyDescent="0.25">
      <c r="A46" s="62" t="s">
        <v>179</v>
      </c>
      <c r="C46" s="62" t="s">
        <v>179</v>
      </c>
      <c r="E46" s="62" t="s">
        <v>179</v>
      </c>
    </row>
    <row r="47" spans="1:7" x14ac:dyDescent="0.25">
      <c r="A47" s="63">
        <v>1</v>
      </c>
      <c r="C47" s="63">
        <v>1</v>
      </c>
      <c r="E47" s="63">
        <v>1</v>
      </c>
    </row>
    <row r="48" spans="1:7" x14ac:dyDescent="0.25">
      <c r="A48" s="64" t="s">
        <v>1</v>
      </c>
      <c r="C48" s="64" t="s">
        <v>1</v>
      </c>
      <c r="E48" s="64" t="s">
        <v>1</v>
      </c>
    </row>
    <row r="49" spans="1:5" s="54" customFormat="1" x14ac:dyDescent="0.25">
      <c r="A49" s="64"/>
      <c r="C49" s="64"/>
      <c r="E49" s="64"/>
    </row>
    <row r="51" spans="1:5" x14ac:dyDescent="0.25">
      <c r="A51" s="65" t="s">
        <v>182</v>
      </c>
      <c r="C51" s="65" t="s">
        <v>182</v>
      </c>
      <c r="E51" s="65" t="s">
        <v>182</v>
      </c>
    </row>
    <row r="52" spans="1:5" x14ac:dyDescent="0.25">
      <c r="A52" s="62" t="s">
        <v>179</v>
      </c>
      <c r="C52" s="62" t="s">
        <v>179</v>
      </c>
      <c r="E52" s="62" t="s">
        <v>179</v>
      </c>
    </row>
    <row r="53" spans="1:5" x14ac:dyDescent="0.25">
      <c r="A53" s="63">
        <v>1</v>
      </c>
      <c r="C53" s="63">
        <v>1</v>
      </c>
      <c r="E53" s="63">
        <v>1</v>
      </c>
    </row>
    <row r="54" spans="1:5" x14ac:dyDescent="0.25">
      <c r="A54" s="64" t="s">
        <v>54</v>
      </c>
      <c r="C54" s="64" t="s">
        <v>54</v>
      </c>
      <c r="E54" s="64" t="s">
        <v>54</v>
      </c>
    </row>
    <row r="57" spans="1:5" x14ac:dyDescent="0.25">
      <c r="A57" s="65" t="s">
        <v>183</v>
      </c>
      <c r="C57" s="65" t="s">
        <v>183</v>
      </c>
      <c r="E57" s="65" t="s">
        <v>183</v>
      </c>
    </row>
    <row r="58" spans="1:5" x14ac:dyDescent="0.25">
      <c r="A58" s="62" t="s">
        <v>179</v>
      </c>
      <c r="C58" s="62" t="s">
        <v>179</v>
      </c>
      <c r="E58" s="62" t="s">
        <v>179</v>
      </c>
    </row>
    <row r="59" spans="1:5" x14ac:dyDescent="0.25">
      <c r="A59" s="63">
        <v>1</v>
      </c>
      <c r="C59" s="63">
        <v>1</v>
      </c>
      <c r="E59" s="63">
        <v>1</v>
      </c>
    </row>
    <row r="60" spans="1:5" x14ac:dyDescent="0.25">
      <c r="A60" s="64" t="s">
        <v>55</v>
      </c>
      <c r="C60" s="64" t="s">
        <v>55</v>
      </c>
      <c r="E60" s="64" t="s">
        <v>4</v>
      </c>
    </row>
    <row r="63" spans="1:5" x14ac:dyDescent="0.25">
      <c r="A63" s="65" t="s">
        <v>184</v>
      </c>
      <c r="C63" s="65" t="s">
        <v>184</v>
      </c>
      <c r="E63" s="65" t="s">
        <v>184</v>
      </c>
    </row>
    <row r="64" spans="1:5" x14ac:dyDescent="0.25">
      <c r="A64" s="62" t="s">
        <v>179</v>
      </c>
      <c r="C64" s="62" t="s">
        <v>179</v>
      </c>
      <c r="E64" s="62" t="s">
        <v>179</v>
      </c>
    </row>
    <row r="65" spans="1:5" x14ac:dyDescent="0.25">
      <c r="A65" s="63">
        <v>1</v>
      </c>
      <c r="C65" s="63">
        <v>1</v>
      </c>
      <c r="E65" s="63">
        <v>1</v>
      </c>
    </row>
    <row r="66" spans="1:5" x14ac:dyDescent="0.25">
      <c r="A66" s="64" t="s">
        <v>6</v>
      </c>
      <c r="C66" s="64" t="s">
        <v>58</v>
      </c>
      <c r="E66" s="64" t="s">
        <v>58</v>
      </c>
    </row>
    <row r="69" spans="1:5" x14ac:dyDescent="0.25">
      <c r="A69" s="65" t="s">
        <v>185</v>
      </c>
      <c r="C69" s="65" t="s">
        <v>185</v>
      </c>
      <c r="E69" s="65" t="s">
        <v>185</v>
      </c>
    </row>
    <row r="70" spans="1:5" x14ac:dyDescent="0.25">
      <c r="A70" s="62" t="s">
        <v>179</v>
      </c>
      <c r="C70" s="62" t="s">
        <v>179</v>
      </c>
      <c r="E70" s="62" t="s">
        <v>179</v>
      </c>
    </row>
    <row r="71" spans="1:5" x14ac:dyDescent="0.25">
      <c r="A71" s="63">
        <v>1</v>
      </c>
      <c r="C71" s="63">
        <v>1</v>
      </c>
      <c r="E71" s="63">
        <v>1</v>
      </c>
    </row>
    <row r="72" spans="1:5" x14ac:dyDescent="0.25">
      <c r="A72" s="64" t="s">
        <v>59</v>
      </c>
      <c r="C72" s="64" t="s">
        <v>59</v>
      </c>
      <c r="E72" s="64" t="s">
        <v>7</v>
      </c>
    </row>
  </sheetData>
  <mergeCells count="9">
    <mergeCell ref="A40:E41"/>
    <mergeCell ref="A43:A44"/>
    <mergeCell ref="C43:C44"/>
    <mergeCell ref="E43:E44"/>
    <mergeCell ref="A1:E2"/>
    <mergeCell ref="A21:E22"/>
    <mergeCell ref="A27:A28"/>
    <mergeCell ref="C27:C28"/>
    <mergeCell ref="E27:E28"/>
  </mergeCells>
  <dataValidations count="4">
    <dataValidation type="list" allowBlank="1" showInputMessage="1" showErrorMessage="1" sqref="A23">
      <formula1>Kuisioner_ke</formula1>
    </dataValidation>
    <dataValidation type="list" allowBlank="1" showInputMessage="1" showErrorMessage="1" sqref="A24">
      <formula1>pilihan_channel</formula1>
    </dataValidation>
    <dataValidation type="list" allowBlank="1" showInputMessage="1" showErrorMessage="1" sqref="C27:C28">
      <formula1>Region</formula1>
    </dataValidation>
    <dataValidation type="list" allowBlank="1" showInputMessage="1" showErrorMessage="1" sqref="E27:E28">
      <formula1>cabang</formula1>
    </dataValidation>
  </dataValidations>
  <pageMargins left="0.7" right="0.7" top="0.75" bottom="0.75" header="0.3" footer="0.3"/>
  <pageSetup orientation="portrait" r:id="rId20"/>
  <drawing r:id="rId2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40"/>
  <sheetViews>
    <sheetView workbookViewId="0">
      <selection activeCell="A6" sqref="A6"/>
    </sheetView>
  </sheetViews>
  <sheetFormatPr defaultRowHeight="15" x14ac:dyDescent="0.25"/>
  <cols>
    <col min="1" max="1" width="85.140625" style="54" customWidth="1"/>
    <col min="2" max="2" width="16.42578125" style="54" customWidth="1"/>
    <col min="3" max="3" width="12.7109375" style="54" bestFit="1" customWidth="1"/>
    <col min="4" max="4" width="12.7109375" style="54" customWidth="1"/>
    <col min="5" max="5" width="11" style="54" customWidth="1"/>
    <col min="6" max="6" width="71" style="54" customWidth="1"/>
    <col min="7" max="7" width="9.28515625" style="54" customWidth="1"/>
    <col min="8" max="16384" width="9.140625" style="54"/>
  </cols>
  <sheetData>
    <row r="1" spans="1:22" ht="15" customHeight="1" x14ac:dyDescent="0.25">
      <c r="A1" s="322" t="s">
        <v>9</v>
      </c>
      <c r="B1" s="322"/>
      <c r="C1" s="322"/>
      <c r="D1" s="322"/>
      <c r="E1" s="322"/>
      <c r="F1" s="91"/>
    </row>
    <row r="2" spans="1:22" ht="15" customHeight="1" x14ac:dyDescent="0.25">
      <c r="A2" s="322"/>
      <c r="B2" s="322"/>
      <c r="C2" s="322"/>
      <c r="D2" s="322"/>
      <c r="E2" s="322"/>
      <c r="F2" s="91"/>
    </row>
    <row r="3" spans="1:22" ht="15" customHeight="1" x14ac:dyDescent="0.25">
      <c r="A3" s="322"/>
      <c r="B3" s="322"/>
      <c r="C3" s="322"/>
      <c r="D3" s="322"/>
      <c r="E3" s="322"/>
      <c r="F3" s="91"/>
    </row>
    <row r="4" spans="1:22" x14ac:dyDescent="0.25">
      <c r="A4" s="72" t="s">
        <v>111</v>
      </c>
    </row>
    <row r="5" spans="1:22" x14ac:dyDescent="0.25">
      <c r="A5" s="72" t="s">
        <v>82</v>
      </c>
    </row>
    <row r="6" spans="1:22" x14ac:dyDescent="0.25">
      <c r="A6" s="72" t="s">
        <v>38</v>
      </c>
    </row>
    <row r="7" spans="1:22" x14ac:dyDescent="0.25"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76"/>
      <c r="S7" s="76"/>
      <c r="T7" s="76"/>
      <c r="U7" s="76"/>
      <c r="V7" s="76"/>
    </row>
    <row r="8" spans="1:22" ht="15" customHeight="1" x14ac:dyDescent="0.25">
      <c r="A8" s="321" t="s">
        <v>220</v>
      </c>
      <c r="B8" s="321"/>
      <c r="C8" s="321"/>
      <c r="D8" s="321"/>
      <c r="E8" s="321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76"/>
      <c r="S8" s="76"/>
      <c r="T8" s="76"/>
      <c r="U8" s="76"/>
      <c r="V8" s="76"/>
    </row>
    <row r="9" spans="1:22" ht="15" customHeight="1" x14ac:dyDescent="0.25">
      <c r="A9" s="321"/>
      <c r="B9" s="321"/>
      <c r="C9" s="321"/>
      <c r="D9" s="321"/>
      <c r="E9" s="321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76"/>
      <c r="S9" s="76"/>
      <c r="T9" s="76"/>
      <c r="U9" s="76"/>
      <c r="V9" s="76"/>
    </row>
    <row r="10" spans="1:22" x14ac:dyDescent="0.25">
      <c r="A10" s="135"/>
      <c r="B10" s="136"/>
      <c r="C10" s="136"/>
      <c r="D10" s="136"/>
      <c r="E10" s="137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76"/>
      <c r="S10" s="76"/>
      <c r="T10" s="76"/>
      <c r="U10" s="76"/>
      <c r="V10" s="76"/>
    </row>
    <row r="11" spans="1:22" x14ac:dyDescent="0.25">
      <c r="A11" s="138"/>
      <c r="B11" s="73"/>
      <c r="C11" s="73"/>
      <c r="D11" s="73"/>
      <c r="E11" s="139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76"/>
      <c r="S11" s="76"/>
      <c r="T11" s="76"/>
      <c r="U11" s="76"/>
      <c r="V11" s="76"/>
    </row>
    <row r="12" spans="1:22" ht="15" customHeight="1" x14ac:dyDescent="0.25">
      <c r="A12" s="146" t="s">
        <v>244</v>
      </c>
      <c r="B12" s="147">
        <f>COUNTA(Rank!S6:S1000000)</f>
        <v>0</v>
      </c>
      <c r="C12" s="144"/>
      <c r="D12" s="144"/>
      <c r="E12" s="14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76"/>
      <c r="S12" s="76"/>
      <c r="T12" s="76"/>
      <c r="U12" s="76"/>
      <c r="V12" s="76"/>
    </row>
    <row r="13" spans="1:22" ht="15" customHeight="1" x14ac:dyDescent="0.25">
      <c r="A13" s="140"/>
      <c r="B13" s="141"/>
      <c r="C13" s="141"/>
      <c r="D13" s="141"/>
      <c r="E13" s="142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76"/>
      <c r="S13" s="76"/>
      <c r="T13" s="76"/>
      <c r="U13" s="76"/>
      <c r="V13" s="76"/>
    </row>
    <row r="14" spans="1:22" ht="15" customHeight="1" x14ac:dyDescent="0.25">
      <c r="A14" s="143" t="s">
        <v>245</v>
      </c>
      <c r="B14" s="147">
        <f>COUNTA(Database!D4:D1000000)</f>
        <v>0</v>
      </c>
      <c r="C14" s="144"/>
      <c r="D14" s="144"/>
      <c r="E14" s="14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76"/>
      <c r="S14" s="76"/>
      <c r="T14" s="76"/>
      <c r="U14" s="76"/>
      <c r="V14" s="76"/>
    </row>
    <row r="15" spans="1:22" ht="15" customHeight="1" x14ac:dyDescent="0.25">
      <c r="A15" s="83"/>
      <c r="B15" s="83"/>
      <c r="C15" s="83"/>
      <c r="D15" s="83"/>
      <c r="E15" s="78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76"/>
      <c r="S15" s="76"/>
      <c r="T15" s="76"/>
      <c r="U15" s="76"/>
      <c r="V15" s="76"/>
    </row>
    <row r="16" spans="1:22" x14ac:dyDescent="0.25">
      <c r="A16" s="77"/>
      <c r="B16" s="77"/>
      <c r="C16" s="77"/>
      <c r="D16" s="77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76"/>
      <c r="S16" s="76"/>
      <c r="T16" s="76"/>
      <c r="U16" s="76"/>
      <c r="V16" s="76"/>
    </row>
    <row r="17" spans="1:22" ht="15.75" x14ac:dyDescent="0.25">
      <c r="A17" s="62" t="s">
        <v>8</v>
      </c>
      <c r="B17" s="55" t="s">
        <v>174</v>
      </c>
      <c r="C17" s="84"/>
      <c r="D17" s="84"/>
      <c r="E17" s="84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76"/>
      <c r="S17" s="76"/>
      <c r="T17" s="76"/>
      <c r="U17" s="76"/>
      <c r="V17" s="76"/>
    </row>
    <row r="18" spans="1:22" ht="15.75" x14ac:dyDescent="0.25">
      <c r="A18" s="62" t="s">
        <v>13</v>
      </c>
      <c r="B18" s="55" t="s">
        <v>174</v>
      </c>
      <c r="C18" s="84"/>
      <c r="D18" s="84"/>
      <c r="E18" s="8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76"/>
      <c r="S18" s="76"/>
      <c r="T18" s="76"/>
      <c r="U18" s="76"/>
      <c r="V18" s="76"/>
    </row>
    <row r="19" spans="1:22" ht="15.75" x14ac:dyDescent="0.25">
      <c r="A19" s="62" t="s">
        <v>9</v>
      </c>
      <c r="B19" s="55" t="s">
        <v>174</v>
      </c>
      <c r="C19" s="84"/>
      <c r="D19" s="84"/>
      <c r="E19" s="84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76"/>
      <c r="S19" s="76"/>
      <c r="T19" s="76"/>
      <c r="U19" s="76"/>
      <c r="V19" s="76"/>
    </row>
    <row r="20" spans="1:22" ht="15.75" x14ac:dyDescent="0.25">
      <c r="A20" s="84"/>
      <c r="B20" s="84"/>
      <c r="C20" s="84"/>
      <c r="D20" s="84"/>
      <c r="E20" s="84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76"/>
      <c r="S20" s="76"/>
      <c r="T20" s="76"/>
      <c r="U20" s="76"/>
      <c r="V20" s="76"/>
    </row>
    <row r="21" spans="1:22" ht="15.75" x14ac:dyDescent="0.25">
      <c r="A21" s="62" t="s">
        <v>175</v>
      </c>
      <c r="B21" t="s">
        <v>201</v>
      </c>
      <c r="D21" s="84"/>
      <c r="E21" s="84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76"/>
      <c r="S21" s="76"/>
      <c r="T21" s="76"/>
      <c r="U21" s="76"/>
      <c r="V21" s="76"/>
    </row>
    <row r="22" spans="1:22" ht="15.75" x14ac:dyDescent="0.25">
      <c r="A22" s="63" t="s">
        <v>162</v>
      </c>
      <c r="B22" s="69">
        <v>294</v>
      </c>
      <c r="D22" s="84"/>
      <c r="E22" s="84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76"/>
      <c r="S22" s="76"/>
      <c r="T22" s="76"/>
      <c r="U22" s="76"/>
      <c r="V22" s="76"/>
    </row>
    <row r="23" spans="1:22" ht="15.75" x14ac:dyDescent="0.25">
      <c r="A23" s="63" t="s">
        <v>202</v>
      </c>
      <c r="B23" s="69">
        <v>5</v>
      </c>
      <c r="D23" s="84"/>
      <c r="E23" s="84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76"/>
      <c r="S23" s="76"/>
      <c r="T23" s="76"/>
      <c r="U23" s="76"/>
      <c r="V23" s="76"/>
    </row>
    <row r="24" spans="1:22" ht="15.75" x14ac:dyDescent="0.25">
      <c r="A24" s="63" t="s">
        <v>38</v>
      </c>
      <c r="B24" s="69">
        <v>62</v>
      </c>
      <c r="D24" s="84"/>
      <c r="E24" s="84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76"/>
      <c r="S24" s="76"/>
      <c r="T24" s="76"/>
      <c r="U24" s="76"/>
      <c r="V24" s="76"/>
    </row>
    <row r="25" spans="1:22" ht="15.75" x14ac:dyDescent="0.25">
      <c r="A25" s="63" t="s">
        <v>176</v>
      </c>
      <c r="B25" s="69">
        <v>361</v>
      </c>
      <c r="D25" s="84"/>
      <c r="E25" s="84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76"/>
      <c r="S25" s="76"/>
      <c r="T25" s="76"/>
      <c r="U25" s="76"/>
      <c r="V25" s="76"/>
    </row>
    <row r="26" spans="1:22" ht="15.75" x14ac:dyDescent="0.25">
      <c r="A26" s="63"/>
      <c r="B26" s="85"/>
      <c r="D26" s="84"/>
      <c r="E26" s="84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76"/>
      <c r="S26" s="76"/>
      <c r="T26" s="76"/>
      <c r="U26" s="76"/>
      <c r="V26" s="76"/>
    </row>
    <row r="27" spans="1:22" ht="15.75" x14ac:dyDescent="0.25">
      <c r="A27" s="63"/>
      <c r="B27" s="85"/>
      <c r="D27" s="84"/>
      <c r="E27" s="84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76"/>
      <c r="S27" s="76"/>
      <c r="T27" s="76"/>
      <c r="U27" s="76"/>
      <c r="V27" s="76"/>
    </row>
    <row r="28" spans="1:22" ht="15.75" x14ac:dyDescent="0.25">
      <c r="A28" s="63"/>
      <c r="B28" s="85"/>
      <c r="D28" s="84"/>
      <c r="E28" s="84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76"/>
      <c r="S28" s="76"/>
      <c r="T28" s="76"/>
      <c r="U28" s="76"/>
      <c r="V28" s="76"/>
    </row>
    <row r="29" spans="1:22" ht="15.75" x14ac:dyDescent="0.25">
      <c r="A29" s="63"/>
      <c r="B29" s="85"/>
      <c r="D29" s="84"/>
      <c r="E29" s="84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76"/>
      <c r="S29" s="76"/>
      <c r="T29" s="76"/>
      <c r="U29" s="76"/>
      <c r="V29" s="76"/>
    </row>
    <row r="30" spans="1:22" ht="15.75" x14ac:dyDescent="0.25">
      <c r="A30" s="63"/>
      <c r="B30" s="85"/>
      <c r="D30" s="84"/>
      <c r="E30" s="84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76"/>
      <c r="S30" s="76"/>
      <c r="T30" s="76"/>
      <c r="U30" s="76"/>
      <c r="V30" s="76"/>
    </row>
    <row r="31" spans="1:22" ht="15.75" x14ac:dyDescent="0.25">
      <c r="A31" s="63"/>
      <c r="B31" s="85"/>
      <c r="D31" s="84"/>
      <c r="E31" s="84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76"/>
      <c r="S31" s="76"/>
      <c r="T31" s="76"/>
      <c r="U31" s="76"/>
      <c r="V31" s="76"/>
    </row>
    <row r="32" spans="1:22" ht="15.75" x14ac:dyDescent="0.25">
      <c r="A32" s="63"/>
      <c r="B32" s="85"/>
      <c r="D32" s="84"/>
      <c r="E32" s="84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76"/>
      <c r="S32" s="76"/>
      <c r="T32" s="76"/>
      <c r="U32" s="76"/>
      <c r="V32" s="76"/>
    </row>
    <row r="33" spans="1:22" ht="15.75" x14ac:dyDescent="0.25">
      <c r="A33" s="63"/>
      <c r="B33" s="85"/>
      <c r="D33" s="84"/>
      <c r="E33" s="84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76"/>
      <c r="S33" s="76"/>
      <c r="T33" s="76"/>
      <c r="U33" s="76"/>
      <c r="V33" s="76"/>
    </row>
    <row r="34" spans="1:22" ht="15.75" x14ac:dyDescent="0.25">
      <c r="A34" s="63"/>
      <c r="B34" s="85"/>
      <c r="D34" s="84"/>
      <c r="E34" s="84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76"/>
      <c r="S34" s="76"/>
      <c r="T34" s="76"/>
      <c r="U34" s="76"/>
      <c r="V34" s="76"/>
    </row>
    <row r="35" spans="1:22" ht="15.75" x14ac:dyDescent="0.25">
      <c r="A35" s="63"/>
      <c r="B35" s="85"/>
      <c r="D35" s="84"/>
      <c r="E35" s="84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76"/>
      <c r="S35" s="76"/>
      <c r="T35" s="76"/>
      <c r="U35" s="76"/>
      <c r="V35" s="76"/>
    </row>
    <row r="36" spans="1:22" ht="15.75" x14ac:dyDescent="0.25">
      <c r="A36" s="63"/>
      <c r="B36" s="85"/>
      <c r="D36" s="84"/>
      <c r="E36" s="84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76"/>
      <c r="S36" s="76"/>
      <c r="T36" s="76"/>
      <c r="U36" s="76"/>
      <c r="V36" s="76"/>
    </row>
    <row r="37" spans="1:22" ht="15.75" x14ac:dyDescent="0.25">
      <c r="A37" s="63"/>
      <c r="B37" s="85"/>
      <c r="D37" s="84"/>
      <c r="E37" s="84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76"/>
      <c r="S37" s="76"/>
      <c r="T37" s="76"/>
      <c r="U37" s="76"/>
      <c r="V37" s="76"/>
    </row>
    <row r="38" spans="1:22" ht="15.75" x14ac:dyDescent="0.25">
      <c r="A38"/>
      <c r="B38"/>
      <c r="D38" s="84"/>
      <c r="E38" s="84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76"/>
      <c r="S38" s="76"/>
      <c r="T38" s="76"/>
      <c r="U38" s="76"/>
      <c r="V38" s="76"/>
    </row>
    <row r="39" spans="1:22" ht="15.75" x14ac:dyDescent="0.25">
      <c r="D39" s="84"/>
      <c r="E39" s="84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76"/>
      <c r="S39" s="76"/>
      <c r="T39" s="76"/>
      <c r="U39" s="76"/>
      <c r="V39" s="76"/>
    </row>
    <row r="40" spans="1:22" ht="15.75" x14ac:dyDescent="0.25">
      <c r="D40" s="84"/>
      <c r="E40" s="84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76"/>
      <c r="S40" s="76"/>
      <c r="T40" s="76"/>
      <c r="U40" s="76"/>
      <c r="V40" s="76"/>
    </row>
    <row r="41" spans="1:22" ht="15.75" x14ac:dyDescent="0.25">
      <c r="D41" s="84"/>
      <c r="E41" s="84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76"/>
      <c r="S41" s="76"/>
      <c r="T41" s="76"/>
      <c r="U41" s="76"/>
      <c r="V41" s="76"/>
    </row>
    <row r="42" spans="1:22" ht="15.75" x14ac:dyDescent="0.25">
      <c r="A42" s="320" t="s">
        <v>206</v>
      </c>
      <c r="B42" s="323" t="e">
        <f>'Hasil Survei Cabang'!L32</f>
        <v>#DIV/0!</v>
      </c>
      <c r="D42" s="79"/>
      <c r="F42" s="79"/>
    </row>
    <row r="43" spans="1:22" x14ac:dyDescent="0.25">
      <c r="A43" s="320"/>
      <c r="B43" s="323"/>
    </row>
    <row r="45" spans="1:22" x14ac:dyDescent="0.25"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76"/>
      <c r="S45" s="76"/>
      <c r="T45" s="76"/>
      <c r="U45" s="76"/>
      <c r="V45" s="76"/>
    </row>
    <row r="46" spans="1:22" ht="15" customHeight="1" x14ac:dyDescent="0.25">
      <c r="A46" s="324" t="s">
        <v>231</v>
      </c>
      <c r="B46" s="73"/>
      <c r="C46" s="73"/>
      <c r="D46" s="73"/>
      <c r="E46" s="73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76"/>
      <c r="S46" s="76"/>
      <c r="T46" s="76"/>
      <c r="U46" s="76"/>
      <c r="V46" s="76"/>
    </row>
    <row r="47" spans="1:22" ht="15" customHeight="1" x14ac:dyDescent="0.25">
      <c r="A47" s="324"/>
      <c r="B47" s="73"/>
      <c r="C47" s="73"/>
      <c r="D47" s="73"/>
      <c r="E47" s="73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76"/>
      <c r="S47" s="76"/>
      <c r="T47" s="76"/>
      <c r="U47" s="76"/>
      <c r="V47" s="76"/>
    </row>
    <row r="48" spans="1:22" x14ac:dyDescent="0.25">
      <c r="A48" s="73"/>
      <c r="B48" s="73"/>
      <c r="C48" s="73"/>
      <c r="D48" s="73"/>
      <c r="E48" s="73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76"/>
      <c r="S48" s="76"/>
      <c r="T48" s="76"/>
      <c r="U48" s="76"/>
      <c r="V48" s="76"/>
    </row>
    <row r="49" spans="1:22" x14ac:dyDescent="0.25">
      <c r="A49" s="87" t="s">
        <v>225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76"/>
      <c r="S49" s="76"/>
      <c r="T49" s="76"/>
      <c r="U49" s="76"/>
      <c r="V49" s="76"/>
    </row>
    <row r="50" spans="1:22" x14ac:dyDescent="0.25">
      <c r="A50" s="6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76"/>
      <c r="S50" s="76"/>
      <c r="T50" s="76"/>
      <c r="U50" s="76"/>
      <c r="V50" s="76"/>
    </row>
    <row r="51" spans="1:22" x14ac:dyDescent="0.25">
      <c r="A51" s="62" t="s">
        <v>233</v>
      </c>
      <c r="B51"/>
      <c r="C51"/>
      <c r="G51"/>
      <c r="H51"/>
      <c r="I51" s="25"/>
      <c r="J51" s="25"/>
      <c r="K51" s="25"/>
      <c r="L51" s="25"/>
      <c r="M51" s="25"/>
      <c r="N51" s="25"/>
      <c r="O51" s="25"/>
      <c r="P51" s="25"/>
      <c r="Q51" s="25"/>
      <c r="R51" s="76"/>
      <c r="S51" s="76"/>
      <c r="T51" s="76"/>
      <c r="U51" s="76"/>
      <c r="V51" s="76"/>
    </row>
    <row r="52" spans="1:22" x14ac:dyDescent="0.25">
      <c r="A52" s="63">
        <v>1</v>
      </c>
      <c r="B52"/>
      <c r="C52"/>
      <c r="G52"/>
      <c r="H52"/>
      <c r="I52" s="25"/>
      <c r="J52" s="25"/>
      <c r="K52" s="25"/>
      <c r="L52" s="25"/>
      <c r="M52" s="25"/>
      <c r="N52" s="25"/>
      <c r="O52" s="25"/>
      <c r="P52" s="25"/>
      <c r="Q52" s="25"/>
      <c r="R52" s="76"/>
      <c r="S52" s="76"/>
      <c r="T52" s="76"/>
      <c r="U52" s="76"/>
      <c r="V52" s="76"/>
    </row>
    <row r="53" spans="1:22" x14ac:dyDescent="0.25">
      <c r="A53" s="64" t="s">
        <v>0</v>
      </c>
      <c r="B53"/>
      <c r="C53"/>
      <c r="G53"/>
      <c r="H53"/>
      <c r="I53" s="25"/>
      <c r="J53" s="25"/>
      <c r="K53" s="25"/>
      <c r="L53" s="25"/>
      <c r="M53" s="25"/>
      <c r="N53" s="25"/>
      <c r="O53" s="25"/>
      <c r="P53" s="25"/>
      <c r="Q53" s="25"/>
      <c r="R53" s="76"/>
      <c r="S53" s="76"/>
      <c r="T53" s="76"/>
      <c r="U53" s="76"/>
      <c r="V53" s="76"/>
    </row>
    <row r="54" spans="1:22" x14ac:dyDescent="0.25">
      <c r="A54" s="63">
        <v>2</v>
      </c>
      <c r="B54"/>
      <c r="C54"/>
      <c r="G54"/>
      <c r="H54"/>
      <c r="I54" s="25"/>
      <c r="J54" s="25"/>
      <c r="K54" s="25"/>
      <c r="L54" s="25"/>
      <c r="M54" s="25"/>
      <c r="N54" s="25"/>
      <c r="O54" s="25"/>
      <c r="P54" s="25"/>
      <c r="Q54" s="25"/>
      <c r="R54" s="76"/>
      <c r="S54" s="76"/>
      <c r="T54" s="76"/>
      <c r="U54" s="76"/>
      <c r="V54" s="76"/>
    </row>
    <row r="55" spans="1:22" x14ac:dyDescent="0.25">
      <c r="A55" s="64" t="s">
        <v>52</v>
      </c>
      <c r="B55"/>
      <c r="C55"/>
      <c r="G55"/>
      <c r="H55"/>
      <c r="I55" s="25"/>
      <c r="J55" s="25"/>
      <c r="K55" s="25"/>
      <c r="L55" s="25"/>
      <c r="M55" s="25"/>
      <c r="N55" s="25"/>
      <c r="O55" s="25"/>
      <c r="P55" s="25"/>
      <c r="Q55" s="25"/>
      <c r="R55" s="76"/>
      <c r="S55" s="76"/>
      <c r="T55" s="76"/>
      <c r="U55" s="76"/>
      <c r="V55" s="76"/>
    </row>
    <row r="56" spans="1:22" x14ac:dyDescent="0.25">
      <c r="A56" s="63">
        <v>3</v>
      </c>
      <c r="B56"/>
      <c r="C56"/>
      <c r="G56"/>
      <c r="H56"/>
      <c r="I56" s="25"/>
      <c r="J56" s="25"/>
      <c r="K56" s="25"/>
      <c r="L56" s="25"/>
      <c r="M56" s="25"/>
      <c r="N56" s="25"/>
      <c r="O56" s="25"/>
      <c r="P56" s="25"/>
      <c r="Q56" s="25"/>
      <c r="R56" s="76"/>
      <c r="S56" s="76"/>
      <c r="T56" s="76"/>
      <c r="U56" s="76"/>
      <c r="V56" s="76"/>
    </row>
    <row r="57" spans="1:22" x14ac:dyDescent="0.25">
      <c r="A57" s="64" t="s">
        <v>53</v>
      </c>
      <c r="B57"/>
      <c r="C57"/>
      <c r="F57"/>
      <c r="G57"/>
      <c r="H57"/>
      <c r="I57" s="25"/>
      <c r="J57" s="25"/>
      <c r="K57" s="25"/>
      <c r="L57" s="25"/>
      <c r="M57" s="25"/>
      <c r="N57" s="25"/>
      <c r="O57" s="25"/>
      <c r="P57" s="25"/>
      <c r="Q57" s="25"/>
      <c r="R57" s="76"/>
      <c r="S57" s="76"/>
      <c r="T57" s="76"/>
      <c r="U57" s="76"/>
      <c r="V57" s="76"/>
    </row>
    <row r="58" spans="1:22" x14ac:dyDescent="0.25">
      <c r="A58" s="64"/>
      <c r="I58" s="25"/>
      <c r="J58" s="25"/>
      <c r="K58" s="25"/>
      <c r="L58" s="25"/>
      <c r="M58" s="25"/>
      <c r="N58" s="25"/>
      <c r="O58" s="25"/>
      <c r="P58" s="25"/>
      <c r="Q58" s="25"/>
      <c r="R58" s="76"/>
      <c r="S58" s="76"/>
      <c r="T58" s="76"/>
      <c r="U58" s="76"/>
      <c r="V58" s="76"/>
    </row>
    <row r="59" spans="1:22" x14ac:dyDescent="0.25">
      <c r="A59" s="64"/>
      <c r="I59" s="25"/>
      <c r="J59" s="25"/>
      <c r="K59" s="25"/>
      <c r="L59" s="25"/>
      <c r="M59" s="25"/>
      <c r="N59" s="25"/>
      <c r="O59" s="25"/>
      <c r="P59" s="25"/>
      <c r="Q59" s="25"/>
      <c r="R59" s="76"/>
      <c r="S59" s="76"/>
      <c r="T59" s="76"/>
      <c r="U59" s="76"/>
      <c r="V59" s="76"/>
    </row>
    <row r="60" spans="1:22" x14ac:dyDescent="0.25">
      <c r="A60" s="64"/>
      <c r="I60" s="25"/>
      <c r="J60" s="25"/>
      <c r="K60" s="25"/>
      <c r="L60" s="25"/>
      <c r="M60" s="25"/>
      <c r="N60" s="25"/>
      <c r="O60" s="25"/>
      <c r="P60" s="25"/>
      <c r="Q60" s="25"/>
      <c r="R60" s="76"/>
      <c r="S60" s="76"/>
      <c r="T60" s="76"/>
      <c r="U60" s="76"/>
      <c r="V60" s="76"/>
    </row>
    <row r="61" spans="1:22" ht="15" customHeight="1" x14ac:dyDescent="0.25">
      <c r="A61" s="325" t="s">
        <v>232</v>
      </c>
      <c r="I61" s="25"/>
      <c r="J61" s="25"/>
      <c r="K61" s="25"/>
      <c r="L61" s="25"/>
      <c r="M61" s="25"/>
      <c r="N61" s="25"/>
      <c r="O61" s="25"/>
      <c r="P61" s="25"/>
      <c r="Q61" s="25"/>
      <c r="R61" s="76"/>
      <c r="S61" s="76"/>
      <c r="T61" s="76"/>
      <c r="U61" s="76"/>
      <c r="V61" s="76"/>
    </row>
    <row r="62" spans="1:22" ht="15" customHeight="1" x14ac:dyDescent="0.25">
      <c r="A62" s="325"/>
      <c r="I62" s="25"/>
      <c r="J62" s="25"/>
      <c r="K62" s="25"/>
      <c r="L62" s="25"/>
      <c r="M62" s="25"/>
      <c r="N62" s="25"/>
      <c r="O62" s="25"/>
      <c r="P62" s="25"/>
      <c r="Q62" s="25"/>
      <c r="R62" s="76"/>
      <c r="S62" s="76"/>
      <c r="T62" s="76"/>
      <c r="U62" s="76"/>
      <c r="V62" s="76"/>
    </row>
    <row r="63" spans="1:22" x14ac:dyDescent="0.25">
      <c r="A63" s="73"/>
      <c r="I63" s="25"/>
      <c r="J63" s="25"/>
      <c r="K63" s="25"/>
      <c r="L63" s="25"/>
      <c r="M63" s="25"/>
      <c r="N63" s="25"/>
      <c r="O63" s="25"/>
      <c r="P63" s="25"/>
      <c r="Q63" s="25"/>
      <c r="R63" s="76"/>
      <c r="S63" s="76"/>
      <c r="T63" s="76"/>
      <c r="U63" s="76"/>
      <c r="V63" s="76"/>
    </row>
    <row r="64" spans="1:22" x14ac:dyDescent="0.25">
      <c r="A64" s="87" t="s">
        <v>238</v>
      </c>
      <c r="I64" s="25"/>
      <c r="J64" s="25"/>
      <c r="K64" s="25"/>
      <c r="L64" s="25"/>
      <c r="M64" s="25"/>
      <c r="N64" s="25"/>
      <c r="O64" s="25"/>
      <c r="P64" s="25"/>
      <c r="Q64" s="25"/>
      <c r="R64" s="76"/>
      <c r="S64" s="76"/>
      <c r="T64" s="76"/>
      <c r="U64" s="76"/>
      <c r="V64" s="76"/>
    </row>
    <row r="65" spans="1:22" x14ac:dyDescent="0.25">
      <c r="A65" s="65"/>
      <c r="I65" s="25"/>
      <c r="J65" s="25"/>
      <c r="K65" s="25"/>
      <c r="L65" s="25"/>
      <c r="M65" s="25"/>
      <c r="N65" s="25"/>
      <c r="O65" s="25"/>
      <c r="P65" s="25"/>
      <c r="Q65" s="25"/>
      <c r="R65" s="76"/>
      <c r="S65" s="76"/>
      <c r="T65" s="76"/>
      <c r="U65" s="76"/>
      <c r="V65" s="76"/>
    </row>
    <row r="66" spans="1:22" x14ac:dyDescent="0.25">
      <c r="A66" s="62" t="s">
        <v>234</v>
      </c>
      <c r="I66" s="25"/>
      <c r="J66" s="25"/>
      <c r="K66" s="25"/>
      <c r="L66" s="25"/>
      <c r="M66" s="25"/>
      <c r="N66" s="25"/>
      <c r="O66" s="25"/>
      <c r="P66" s="25"/>
      <c r="Q66" s="25"/>
      <c r="R66" s="76"/>
      <c r="S66" s="76"/>
      <c r="T66" s="76"/>
      <c r="U66" s="76"/>
      <c r="V66" s="76"/>
    </row>
    <row r="67" spans="1:22" x14ac:dyDescent="0.25">
      <c r="A67" s="63">
        <v>1</v>
      </c>
      <c r="I67" s="25"/>
      <c r="J67" s="25"/>
      <c r="K67" s="25"/>
      <c r="L67" s="25"/>
      <c r="M67" s="25"/>
      <c r="N67" s="25"/>
      <c r="O67" s="25"/>
      <c r="P67" s="25"/>
      <c r="Q67" s="25"/>
      <c r="R67" s="76"/>
      <c r="S67" s="76"/>
      <c r="T67" s="76"/>
      <c r="U67" s="76"/>
      <c r="V67" s="76"/>
    </row>
    <row r="68" spans="1:22" x14ac:dyDescent="0.25">
      <c r="A68" s="64" t="s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76"/>
      <c r="S68" s="76"/>
      <c r="T68" s="76"/>
      <c r="U68" s="76"/>
      <c r="V68" s="76"/>
    </row>
    <row r="69" spans="1:22" x14ac:dyDescent="0.25">
      <c r="A69" s="63">
        <v>2</v>
      </c>
      <c r="I69" s="25"/>
      <c r="J69" s="25"/>
      <c r="K69" s="25"/>
      <c r="L69" s="25"/>
      <c r="M69" s="25"/>
      <c r="N69" s="25"/>
      <c r="O69" s="25"/>
      <c r="P69" s="25"/>
      <c r="Q69" s="25"/>
      <c r="R69" s="76"/>
      <c r="S69" s="76"/>
      <c r="T69" s="76"/>
      <c r="U69" s="76"/>
      <c r="V69" s="76"/>
    </row>
    <row r="70" spans="1:22" x14ac:dyDescent="0.25">
      <c r="A70" s="64" t="s">
        <v>2</v>
      </c>
      <c r="I70" s="25"/>
      <c r="J70" s="25"/>
      <c r="K70" s="25"/>
      <c r="L70" s="25"/>
      <c r="M70" s="25"/>
      <c r="N70" s="25"/>
      <c r="O70" s="25"/>
      <c r="P70" s="25"/>
      <c r="Q70" s="25"/>
      <c r="R70" s="76"/>
      <c r="S70" s="76"/>
      <c r="T70" s="76"/>
      <c r="U70" s="76"/>
      <c r="V70" s="76"/>
    </row>
    <row r="71" spans="1:22" x14ac:dyDescent="0.25">
      <c r="A71" s="64" t="s">
        <v>0</v>
      </c>
      <c r="I71" s="25"/>
      <c r="J71" s="25"/>
      <c r="K71" s="25"/>
      <c r="L71" s="25"/>
      <c r="M71" s="25"/>
      <c r="N71" s="25"/>
      <c r="O71" s="25"/>
      <c r="P71" s="25"/>
      <c r="Q71" s="25"/>
      <c r="R71" s="76"/>
      <c r="S71" s="76"/>
      <c r="T71" s="76"/>
      <c r="U71" s="76"/>
      <c r="V71" s="76"/>
    </row>
    <row r="72" spans="1:22" x14ac:dyDescent="0.25">
      <c r="A72" s="64"/>
      <c r="I72" s="25"/>
      <c r="J72" s="25"/>
      <c r="K72" s="25"/>
      <c r="L72" s="25"/>
      <c r="M72" s="25"/>
      <c r="N72" s="25"/>
      <c r="O72" s="25"/>
      <c r="P72" s="25"/>
      <c r="Q72" s="25"/>
      <c r="R72" s="76"/>
      <c r="S72" s="76"/>
      <c r="T72" s="76"/>
      <c r="U72" s="76"/>
      <c r="V72" s="76"/>
    </row>
    <row r="73" spans="1:22" x14ac:dyDescent="0.25">
      <c r="A73"/>
      <c r="B73"/>
      <c r="C73"/>
      <c r="F73"/>
      <c r="G73"/>
      <c r="H73"/>
      <c r="I73" s="25"/>
      <c r="J73" s="25"/>
      <c r="K73" s="25"/>
      <c r="L73" s="25"/>
      <c r="M73" s="25"/>
      <c r="N73" s="25"/>
      <c r="O73" s="25"/>
      <c r="P73" s="25"/>
      <c r="Q73" s="25"/>
      <c r="R73" s="76"/>
      <c r="S73" s="76"/>
      <c r="T73" s="76"/>
      <c r="U73" s="76"/>
      <c r="V73" s="76"/>
    </row>
    <row r="74" spans="1:22" x14ac:dyDescent="0.25">
      <c r="I74" s="25"/>
      <c r="J74" s="25"/>
      <c r="K74" s="25"/>
      <c r="L74" s="25"/>
      <c r="M74" s="25"/>
      <c r="N74" s="25"/>
      <c r="O74" s="25"/>
      <c r="P74" s="25"/>
      <c r="Q74" s="25"/>
      <c r="R74" s="76"/>
      <c r="S74" s="76"/>
      <c r="T74" s="76"/>
      <c r="U74" s="76"/>
      <c r="V74" s="76"/>
    </row>
    <row r="75" spans="1:22" ht="15" customHeight="1" x14ac:dyDescent="0.25">
      <c r="A75" s="318" t="s">
        <v>236</v>
      </c>
    </row>
    <row r="76" spans="1:22" ht="15" customHeight="1" x14ac:dyDescent="0.25">
      <c r="A76" s="318"/>
    </row>
    <row r="78" spans="1:22" x14ac:dyDescent="0.25">
      <c r="A78" s="87" t="s">
        <v>224</v>
      </c>
    </row>
    <row r="79" spans="1:22" x14ac:dyDescent="0.25">
      <c r="A79" s="64"/>
    </row>
    <row r="80" spans="1:22" x14ac:dyDescent="0.25">
      <c r="A80" s="62" t="s">
        <v>179</v>
      </c>
      <c r="B80"/>
      <c r="C80"/>
    </row>
    <row r="81" spans="1:3" x14ac:dyDescent="0.25">
      <c r="A81" s="63">
        <v>1</v>
      </c>
      <c r="B81"/>
      <c r="C81"/>
    </row>
    <row r="82" spans="1:3" x14ac:dyDescent="0.25">
      <c r="A82" s="64" t="s">
        <v>59</v>
      </c>
      <c r="B82"/>
      <c r="C82"/>
    </row>
    <row r="83" spans="1:3" x14ac:dyDescent="0.25">
      <c r="A83" s="63">
        <v>2</v>
      </c>
      <c r="B83"/>
      <c r="C83"/>
    </row>
    <row r="84" spans="1:3" x14ac:dyDescent="0.25">
      <c r="A84" s="64" t="s">
        <v>63</v>
      </c>
      <c r="B84"/>
      <c r="C84"/>
    </row>
    <row r="85" spans="1:3" x14ac:dyDescent="0.25">
      <c r="A85" s="63">
        <v>3</v>
      </c>
      <c r="B85"/>
      <c r="C85"/>
    </row>
    <row r="86" spans="1:3" x14ac:dyDescent="0.25">
      <c r="A86" s="64" t="s">
        <v>61</v>
      </c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ht="15" customHeight="1" x14ac:dyDescent="0.25">
      <c r="A89" s="319" t="s">
        <v>237</v>
      </c>
    </row>
    <row r="90" spans="1:3" ht="15" customHeight="1" x14ac:dyDescent="0.25">
      <c r="A90" s="319"/>
    </row>
    <row r="92" spans="1:3" x14ac:dyDescent="0.25">
      <c r="A92" s="87" t="s">
        <v>216</v>
      </c>
    </row>
    <row r="94" spans="1:3" x14ac:dyDescent="0.25">
      <c r="A94" s="89" t="s">
        <v>181</v>
      </c>
    </row>
    <row r="95" spans="1:3" x14ac:dyDescent="0.25">
      <c r="A95" s="62" t="s">
        <v>179</v>
      </c>
      <c r="B95"/>
      <c r="C95"/>
    </row>
    <row r="96" spans="1:3" x14ac:dyDescent="0.25">
      <c r="A96" s="63">
        <v>1</v>
      </c>
      <c r="B96"/>
      <c r="C96"/>
    </row>
    <row r="97" spans="1:3" x14ac:dyDescent="0.25">
      <c r="A97" s="64" t="s">
        <v>1</v>
      </c>
      <c r="B97"/>
      <c r="C97"/>
    </row>
    <row r="98" spans="1:3" x14ac:dyDescent="0.25">
      <c r="A98"/>
      <c r="B98"/>
      <c r="C98"/>
    </row>
    <row r="99" spans="1:3" x14ac:dyDescent="0.25">
      <c r="A99" s="86"/>
      <c r="B99"/>
      <c r="C99"/>
    </row>
    <row r="100" spans="1:3" x14ac:dyDescent="0.25">
      <c r="A100"/>
      <c r="B100"/>
      <c r="C100"/>
    </row>
    <row r="101" spans="1:3" x14ac:dyDescent="0.25">
      <c r="A101" s="89" t="s">
        <v>182</v>
      </c>
      <c r="B101"/>
      <c r="C101"/>
    </row>
    <row r="102" spans="1:3" x14ac:dyDescent="0.25">
      <c r="A102" s="62" t="s">
        <v>179</v>
      </c>
      <c r="B102"/>
      <c r="C102"/>
    </row>
    <row r="103" spans="1:3" x14ac:dyDescent="0.25">
      <c r="A103" s="63">
        <v>1</v>
      </c>
      <c r="B103"/>
      <c r="C103"/>
    </row>
    <row r="104" spans="1:3" x14ac:dyDescent="0.25">
      <c r="A104" s="64" t="s">
        <v>54</v>
      </c>
      <c r="B104"/>
      <c r="C104"/>
    </row>
    <row r="105" spans="1:3" x14ac:dyDescent="0.25">
      <c r="A105"/>
      <c r="B105"/>
      <c r="C105"/>
    </row>
    <row r="106" spans="1:3" x14ac:dyDescent="0.25">
      <c r="A106" s="86"/>
      <c r="B106"/>
      <c r="C106"/>
    </row>
    <row r="107" spans="1:3" x14ac:dyDescent="0.25">
      <c r="A107"/>
      <c r="B107"/>
      <c r="C107"/>
    </row>
    <row r="108" spans="1:3" x14ac:dyDescent="0.25">
      <c r="A108" s="89" t="s">
        <v>183</v>
      </c>
      <c r="B108"/>
      <c r="C108"/>
    </row>
    <row r="109" spans="1:3" x14ac:dyDescent="0.25">
      <c r="A109" s="62" t="s">
        <v>179</v>
      </c>
      <c r="B109"/>
      <c r="C109"/>
    </row>
    <row r="110" spans="1:3" x14ac:dyDescent="0.25">
      <c r="A110" s="63">
        <v>1</v>
      </c>
      <c r="B110"/>
      <c r="C110"/>
    </row>
    <row r="111" spans="1:3" x14ac:dyDescent="0.25">
      <c r="A111" s="64" t="s">
        <v>4</v>
      </c>
      <c r="B111"/>
      <c r="C111"/>
    </row>
    <row r="112" spans="1:3" x14ac:dyDescent="0.25">
      <c r="A112"/>
      <c r="B112"/>
      <c r="C112"/>
    </row>
    <row r="113" spans="1:3" x14ac:dyDescent="0.25">
      <c r="A113" s="86"/>
      <c r="B113"/>
      <c r="C113"/>
    </row>
    <row r="114" spans="1:3" x14ac:dyDescent="0.25">
      <c r="A114"/>
      <c r="B114"/>
      <c r="C114"/>
    </row>
    <row r="115" spans="1:3" x14ac:dyDescent="0.25">
      <c r="A115" s="89" t="s">
        <v>184</v>
      </c>
      <c r="B115"/>
      <c r="C115"/>
    </row>
    <row r="116" spans="1:3" x14ac:dyDescent="0.25">
      <c r="A116" s="62" t="s">
        <v>179</v>
      </c>
      <c r="B116"/>
      <c r="C116"/>
    </row>
    <row r="117" spans="1:3" x14ac:dyDescent="0.25">
      <c r="A117" s="63">
        <v>1</v>
      </c>
      <c r="B117"/>
      <c r="C117"/>
    </row>
    <row r="118" spans="1:3" x14ac:dyDescent="0.25">
      <c r="A118" s="64" t="s">
        <v>58</v>
      </c>
      <c r="B118"/>
      <c r="C118"/>
    </row>
    <row r="119" spans="1:3" x14ac:dyDescent="0.25">
      <c r="A119"/>
      <c r="B119"/>
      <c r="C119"/>
    </row>
    <row r="120" spans="1:3" x14ac:dyDescent="0.25">
      <c r="A120" s="86"/>
      <c r="B120"/>
      <c r="C120"/>
    </row>
    <row r="121" spans="1:3" x14ac:dyDescent="0.25">
      <c r="A121"/>
      <c r="B121"/>
      <c r="C121"/>
    </row>
    <row r="122" spans="1:3" x14ac:dyDescent="0.25">
      <c r="A122" s="89" t="s">
        <v>185</v>
      </c>
      <c r="B122"/>
      <c r="C122"/>
    </row>
    <row r="123" spans="1:3" x14ac:dyDescent="0.25">
      <c r="A123" s="62" t="s">
        <v>179</v>
      </c>
      <c r="B123"/>
      <c r="C123"/>
    </row>
    <row r="124" spans="1:3" x14ac:dyDescent="0.25">
      <c r="A124" s="63">
        <v>1</v>
      </c>
      <c r="B124"/>
      <c r="C124"/>
    </row>
    <row r="125" spans="1:3" x14ac:dyDescent="0.25">
      <c r="A125" s="64" t="s">
        <v>7</v>
      </c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</sheetData>
  <mergeCells count="8">
    <mergeCell ref="A75:A76"/>
    <mergeCell ref="A89:A90"/>
    <mergeCell ref="A42:A43"/>
    <mergeCell ref="A8:E9"/>
    <mergeCell ref="A1:E3"/>
    <mergeCell ref="B42:B43"/>
    <mergeCell ref="A46:A47"/>
    <mergeCell ref="A61:A62"/>
  </mergeCells>
  <dataValidations count="3">
    <dataValidation type="list" allowBlank="1" showInputMessage="1" showErrorMessage="1" sqref="A4">
      <formula1>Kuisioner_ke</formula1>
    </dataValidation>
    <dataValidation type="list" allowBlank="1" showInputMessage="1" showErrorMessage="1" sqref="A5">
      <formula1>yangsudah</formula1>
    </dataValidation>
    <dataValidation type="list" allowBlank="1" showInputMessage="1" showErrorMessage="1" sqref="A6">
      <formula1>pilihan_channel</formula1>
    </dataValidation>
  </dataValidations>
  <pageMargins left="0.7" right="0.7" top="0.75" bottom="0.75" header="0.3" footer="0.3"/>
  <drawing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2"/>
  <sheetViews>
    <sheetView zoomScale="99" zoomScaleNormal="99" workbookViewId="0">
      <selection activeCell="B69" sqref="B69"/>
    </sheetView>
  </sheetViews>
  <sheetFormatPr defaultRowHeight="15" x14ac:dyDescent="0.25"/>
  <cols>
    <col min="1" max="1" width="91.140625" customWidth="1"/>
    <col min="2" max="2" width="16.5703125" customWidth="1"/>
    <col min="3" max="3" width="10" customWidth="1"/>
    <col min="4" max="4" width="12.7109375" style="54" customWidth="1"/>
    <col min="5" max="5" width="11" style="54" customWidth="1"/>
    <col min="6" max="6" width="86.5703125" style="54" bestFit="1" customWidth="1"/>
    <col min="7" max="7" width="9.28515625" style="54" customWidth="1"/>
    <col min="8" max="9" width="9.140625" style="54"/>
  </cols>
  <sheetData>
    <row r="1" spans="1:22" x14ac:dyDescent="0.25">
      <c r="A1" s="326" t="s">
        <v>178</v>
      </c>
      <c r="B1" s="326"/>
      <c r="C1" s="326"/>
      <c r="D1" s="326"/>
      <c r="E1" s="326"/>
      <c r="F1" s="326"/>
      <c r="G1"/>
      <c r="H1"/>
      <c r="I1"/>
    </row>
    <row r="2" spans="1:22" x14ac:dyDescent="0.25">
      <c r="A2" s="326"/>
      <c r="B2" s="326"/>
      <c r="C2" s="326"/>
      <c r="D2" s="326"/>
      <c r="E2" s="326"/>
      <c r="F2" s="326"/>
      <c r="G2"/>
      <c r="H2"/>
      <c r="I2"/>
    </row>
    <row r="3" spans="1:22" x14ac:dyDescent="0.25">
      <c r="A3" s="326"/>
      <c r="B3" s="326"/>
      <c r="C3" s="326"/>
      <c r="D3" s="326"/>
      <c r="E3" s="326"/>
      <c r="F3" s="326"/>
      <c r="G3"/>
      <c r="H3"/>
      <c r="I3"/>
    </row>
    <row r="4" spans="1:22" x14ac:dyDescent="0.25">
      <c r="A4" s="213"/>
      <c r="D4"/>
      <c r="E4"/>
      <c r="F4"/>
      <c r="G4"/>
      <c r="H4"/>
      <c r="I4"/>
    </row>
    <row r="5" spans="1:22" s="54" customFormat="1" x14ac:dyDescent="0.25">
      <c r="A5" s="21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</row>
    <row r="6" spans="1:22" x14ac:dyDescent="0.25">
      <c r="D6"/>
      <c r="E6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2" ht="15" customHeight="1" x14ac:dyDescent="0.25">
      <c r="A7" s="329" t="s">
        <v>205</v>
      </c>
      <c r="B7" s="330"/>
      <c r="C7" s="330"/>
      <c r="D7" s="330"/>
      <c r="E7" s="331"/>
      <c r="F7" s="148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5"/>
      <c r="S7" s="76"/>
      <c r="T7" s="76"/>
      <c r="U7" s="76"/>
      <c r="V7" s="76"/>
    </row>
    <row r="8" spans="1:22" ht="15" customHeight="1" x14ac:dyDescent="0.25">
      <c r="A8" s="332"/>
      <c r="B8" s="333"/>
      <c r="C8" s="333"/>
      <c r="D8" s="333"/>
      <c r="E8" s="334"/>
      <c r="F8" s="148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5"/>
      <c r="S8" s="76"/>
      <c r="T8" s="76"/>
      <c r="U8" s="76"/>
      <c r="V8" s="76"/>
    </row>
    <row r="9" spans="1:22" s="54" customFormat="1" x14ac:dyDescent="0.25">
      <c r="A9" s="231"/>
      <c r="B9" s="226"/>
      <c r="C9" s="227"/>
      <c r="D9" s="227"/>
      <c r="E9" s="22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55"/>
      <c r="S9" s="76"/>
      <c r="T9" s="76"/>
      <c r="U9" s="76"/>
      <c r="V9" s="76"/>
    </row>
    <row r="10" spans="1:22" s="54" customFormat="1" x14ac:dyDescent="0.25">
      <c r="A10" s="215"/>
      <c r="B10" s="215"/>
      <c r="C10" s="216"/>
      <c r="D10" s="216"/>
      <c r="E10" s="217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76"/>
      <c r="S10" s="76"/>
      <c r="T10" s="76"/>
      <c r="U10" s="76"/>
      <c r="V10" s="76"/>
    </row>
    <row r="11" spans="1:22" s="54" customFormat="1" ht="15" customHeight="1" x14ac:dyDescent="0.25">
      <c r="A11" s="218" t="s">
        <v>204</v>
      </c>
      <c r="B11" s="229" t="e">
        <f xml:space="preserve"> SUMPRODUCT((Database!D4:D367&lt;&gt;"")/COUNTIF(Database!D4:D367,Database!D4:D367))</f>
        <v>#DIV/0!</v>
      </c>
      <c r="C11" s="219"/>
      <c r="D11" s="219"/>
      <c r="E11" s="220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76"/>
      <c r="S11" s="76"/>
      <c r="T11" s="76"/>
      <c r="U11" s="76"/>
      <c r="V11" s="76"/>
    </row>
    <row r="12" spans="1:22" s="54" customFormat="1" x14ac:dyDescent="0.25">
      <c r="A12" s="221"/>
      <c r="B12" s="221"/>
      <c r="C12" s="222"/>
      <c r="D12" s="222"/>
      <c r="E12" s="214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76"/>
      <c r="S12" s="76"/>
      <c r="T12" s="76"/>
      <c r="U12" s="76"/>
      <c r="V12" s="76"/>
    </row>
    <row r="13" spans="1:22" s="54" customFormat="1" ht="15.75" x14ac:dyDescent="0.25">
      <c r="A13" s="223" t="s">
        <v>245</v>
      </c>
      <c r="B13" s="230">
        <f>COUNTA(Database!D4:D1000000)</f>
        <v>0</v>
      </c>
      <c r="C13" s="224"/>
      <c r="D13" s="224"/>
      <c r="E13" s="2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76"/>
      <c r="S13" s="76"/>
      <c r="T13" s="76"/>
      <c r="U13" s="76"/>
      <c r="V13" s="76"/>
    </row>
    <row r="16" spans="1:22" x14ac:dyDescent="0.25">
      <c r="A16" s="62" t="s">
        <v>13</v>
      </c>
      <c r="B16" s="55" t="s">
        <v>174</v>
      </c>
      <c r="D16"/>
      <c r="E16"/>
      <c r="F16"/>
      <c r="G16"/>
      <c r="H16"/>
      <c r="I16"/>
    </row>
    <row r="17" spans="1:9" x14ac:dyDescent="0.25">
      <c r="A17" s="62" t="s">
        <v>8</v>
      </c>
      <c r="B17" s="55" t="s">
        <v>174</v>
      </c>
      <c r="D17"/>
      <c r="E17"/>
      <c r="F17"/>
      <c r="G17"/>
      <c r="H17"/>
      <c r="I17"/>
    </row>
    <row r="18" spans="1:9" x14ac:dyDescent="0.25">
      <c r="D18" s="74"/>
      <c r="E18" s="156"/>
      <c r="F18" s="156"/>
      <c r="G18" s="156"/>
      <c r="H18" s="156"/>
      <c r="I18" s="156"/>
    </row>
    <row r="19" spans="1:9" x14ac:dyDescent="0.25">
      <c r="A19" s="62" t="s">
        <v>175</v>
      </c>
      <c r="B19" t="s">
        <v>201</v>
      </c>
      <c r="D19" s="74"/>
      <c r="E19" s="156"/>
      <c r="F19" s="156"/>
      <c r="G19" s="73"/>
      <c r="H19" s="73"/>
      <c r="I19" s="73"/>
    </row>
    <row r="20" spans="1:9" x14ac:dyDescent="0.25">
      <c r="A20" s="63" t="s">
        <v>162</v>
      </c>
      <c r="B20" s="69">
        <v>294</v>
      </c>
    </row>
    <row r="21" spans="1:9" x14ac:dyDescent="0.25">
      <c r="A21" s="63" t="s">
        <v>38</v>
      </c>
      <c r="B21" s="69">
        <v>62</v>
      </c>
    </row>
    <row r="22" spans="1:9" x14ac:dyDescent="0.25">
      <c r="A22" s="63" t="s">
        <v>202</v>
      </c>
      <c r="B22" s="69">
        <v>5</v>
      </c>
    </row>
    <row r="23" spans="1:9" x14ac:dyDescent="0.25">
      <c r="A23" s="63" t="s">
        <v>176</v>
      </c>
      <c r="B23" s="69">
        <v>361</v>
      </c>
    </row>
    <row r="27" spans="1:9" s="54" customFormat="1" x14ac:dyDescent="0.25"/>
    <row r="28" spans="1:9" s="54" customFormat="1" x14ac:dyDescent="0.25"/>
    <row r="29" spans="1:9" s="54" customFormat="1" x14ac:dyDescent="0.25"/>
    <row r="30" spans="1:9" s="54" customFormat="1" x14ac:dyDescent="0.25"/>
    <row r="31" spans="1:9" s="54" customFormat="1" x14ac:dyDescent="0.25"/>
    <row r="32" spans="1:9" s="54" customFormat="1" x14ac:dyDescent="0.25"/>
    <row r="33" spans="1:17" s="54" customFormat="1" x14ac:dyDescent="0.25"/>
    <row r="34" spans="1:17" s="54" customFormat="1" x14ac:dyDescent="0.25"/>
    <row r="35" spans="1:17" s="54" customFormat="1" x14ac:dyDescent="0.25"/>
    <row r="36" spans="1:17" s="54" customFormat="1" x14ac:dyDescent="0.25"/>
    <row r="37" spans="1:17" s="54" customFormat="1" x14ac:dyDescent="0.25"/>
    <row r="38" spans="1:17" s="54" customFormat="1" x14ac:dyDescent="0.25"/>
    <row r="39" spans="1:17" s="54" customFormat="1" x14ac:dyDescent="0.25"/>
    <row r="40" spans="1:17" s="54" customFormat="1" x14ac:dyDescent="0.25"/>
    <row r="41" spans="1:17" s="54" customFormat="1" x14ac:dyDescent="0.25"/>
    <row r="42" spans="1:17" s="54" customFormat="1" x14ac:dyDescent="0.25"/>
    <row r="44" spans="1:17" ht="15.75" x14ac:dyDescent="0.25">
      <c r="A44" s="327" t="s">
        <v>230</v>
      </c>
      <c r="B44" s="323" t="e">
        <f>'Hasil Survei Nasional'!L31</f>
        <v>#DIV/0!</v>
      </c>
      <c r="C44" s="79"/>
      <c r="D44" s="79"/>
      <c r="F44" s="79"/>
    </row>
    <row r="45" spans="1:17" x14ac:dyDescent="0.25">
      <c r="A45" s="328"/>
      <c r="B45" s="323"/>
      <c r="C45" s="54"/>
      <c r="J45" s="54"/>
      <c r="K45" s="54"/>
      <c r="L45" s="54"/>
      <c r="M45" s="54"/>
      <c r="N45" s="54"/>
      <c r="O45" s="54"/>
      <c r="P45" s="54"/>
      <c r="Q45" s="54"/>
    </row>
    <row r="46" spans="1:17" x14ac:dyDescent="0.25">
      <c r="A46" s="54"/>
      <c r="B46" s="54"/>
      <c r="C46" s="54"/>
      <c r="J46" s="54"/>
      <c r="K46" s="54"/>
      <c r="L46" s="54"/>
      <c r="M46" s="54"/>
      <c r="N46" s="54"/>
      <c r="O46" s="54"/>
      <c r="P46" s="54"/>
      <c r="Q46" s="54"/>
    </row>
    <row r="47" spans="1:17" x14ac:dyDescent="0.25">
      <c r="G47" s="80"/>
      <c r="H47" s="80"/>
      <c r="I47" s="80"/>
    </row>
    <row r="48" spans="1:17" x14ac:dyDescent="0.25">
      <c r="A48" s="324" t="s">
        <v>231</v>
      </c>
      <c r="B48" s="73"/>
      <c r="C48" s="73"/>
      <c r="D48" s="73"/>
      <c r="E48" s="73"/>
      <c r="G48" s="73"/>
      <c r="H48" s="73"/>
      <c r="I48" s="73"/>
      <c r="J48" s="80"/>
      <c r="K48" s="80"/>
      <c r="L48" s="80"/>
      <c r="M48" s="80"/>
      <c r="N48" s="80"/>
      <c r="O48" s="80"/>
      <c r="P48" s="80"/>
      <c r="Q48" s="80"/>
    </row>
    <row r="49" spans="1:17" s="54" customFormat="1" x14ac:dyDescent="0.25">
      <c r="A49" s="324"/>
      <c r="B49" s="73"/>
      <c r="C49" s="73"/>
      <c r="D49" s="73"/>
      <c r="E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</row>
    <row r="50" spans="1:17" s="54" customFormat="1" x14ac:dyDescent="0.25">
      <c r="A50" s="73"/>
      <c r="B50" s="73"/>
      <c r="C50" s="73"/>
      <c r="D50" s="73"/>
      <c r="E50" s="73"/>
      <c r="J50" s="73"/>
      <c r="K50" s="73"/>
      <c r="L50" s="73"/>
      <c r="M50" s="73"/>
      <c r="N50" s="73"/>
      <c r="O50" s="73"/>
      <c r="P50" s="73"/>
      <c r="Q50" s="73"/>
    </row>
    <row r="51" spans="1:17" x14ac:dyDescent="0.25">
      <c r="A51" s="87" t="s">
        <v>207</v>
      </c>
    </row>
    <row r="54" spans="1:17" x14ac:dyDescent="0.25">
      <c r="A54" s="62" t="s">
        <v>233</v>
      </c>
    </row>
    <row r="55" spans="1:17" x14ac:dyDescent="0.25">
      <c r="A55" s="63">
        <v>1</v>
      </c>
    </row>
    <row r="56" spans="1:17" x14ac:dyDescent="0.25">
      <c r="A56" s="64" t="s">
        <v>2</v>
      </c>
    </row>
    <row r="57" spans="1:17" x14ac:dyDescent="0.25">
      <c r="A57" s="63">
        <v>2</v>
      </c>
    </row>
    <row r="58" spans="1:17" x14ac:dyDescent="0.25">
      <c r="A58" s="64" t="s">
        <v>1</v>
      </c>
    </row>
    <row r="59" spans="1:17" x14ac:dyDescent="0.25">
      <c r="A59" s="63">
        <v>3</v>
      </c>
    </row>
    <row r="60" spans="1:17" x14ac:dyDescent="0.25">
      <c r="A60" s="64" t="s">
        <v>0</v>
      </c>
    </row>
    <row r="61" spans="1:17" s="54" customFormat="1" x14ac:dyDescent="0.25">
      <c r="A61" s="64"/>
      <c r="F61" s="64"/>
    </row>
    <row r="62" spans="1:17" s="54" customFormat="1" x14ac:dyDescent="0.25">
      <c r="A62" s="64"/>
      <c r="F62" s="64"/>
    </row>
    <row r="63" spans="1:17" s="54" customFormat="1" x14ac:dyDescent="0.25">
      <c r="A63" s="64"/>
      <c r="F63" s="64"/>
    </row>
    <row r="64" spans="1:17" s="54" customFormat="1" x14ac:dyDescent="0.25">
      <c r="A64" s="325" t="s">
        <v>232</v>
      </c>
      <c r="F64" s="64"/>
    </row>
    <row r="65" spans="1:6" s="54" customFormat="1" x14ac:dyDescent="0.25">
      <c r="A65" s="325"/>
      <c r="F65" s="64"/>
    </row>
    <row r="66" spans="1:6" s="54" customFormat="1" x14ac:dyDescent="0.25">
      <c r="A66" s="73"/>
      <c r="F66" s="64"/>
    </row>
    <row r="67" spans="1:6" s="54" customFormat="1" x14ac:dyDescent="0.25">
      <c r="A67" s="87" t="s">
        <v>208</v>
      </c>
      <c r="F67" s="64"/>
    </row>
    <row r="68" spans="1:6" s="54" customFormat="1" x14ac:dyDescent="0.25">
      <c r="A68"/>
      <c r="F68" s="64"/>
    </row>
    <row r="69" spans="1:6" s="54" customFormat="1" x14ac:dyDescent="0.25">
      <c r="A69"/>
      <c r="F69" s="64"/>
    </row>
    <row r="70" spans="1:6" s="54" customFormat="1" x14ac:dyDescent="0.25">
      <c r="A70" s="62" t="s">
        <v>234</v>
      </c>
      <c r="F70" s="64"/>
    </row>
    <row r="71" spans="1:6" s="54" customFormat="1" x14ac:dyDescent="0.25">
      <c r="A71" s="63">
        <v>1</v>
      </c>
      <c r="F71" s="64"/>
    </row>
    <row r="72" spans="1:6" s="54" customFormat="1" x14ac:dyDescent="0.25">
      <c r="A72" s="64" t="s">
        <v>2</v>
      </c>
      <c r="F72" s="64"/>
    </row>
    <row r="73" spans="1:6" s="54" customFormat="1" x14ac:dyDescent="0.25">
      <c r="A73" s="63">
        <v>2</v>
      </c>
      <c r="F73" s="64"/>
    </row>
    <row r="74" spans="1:6" s="54" customFormat="1" x14ac:dyDescent="0.25">
      <c r="A74" s="64" t="s">
        <v>55</v>
      </c>
      <c r="F74" s="64"/>
    </row>
    <row r="75" spans="1:6" s="54" customFormat="1" x14ac:dyDescent="0.25">
      <c r="A75" s="63">
        <v>3</v>
      </c>
      <c r="F75" s="64"/>
    </row>
    <row r="76" spans="1:6" s="54" customFormat="1" x14ac:dyDescent="0.25">
      <c r="A76" s="64" t="s">
        <v>1</v>
      </c>
      <c r="F76" s="64"/>
    </row>
    <row r="77" spans="1:6" s="54" customFormat="1" x14ac:dyDescent="0.25">
      <c r="A77" s="64"/>
      <c r="F77" s="64"/>
    </row>
    <row r="78" spans="1:6" s="54" customFormat="1" x14ac:dyDescent="0.25">
      <c r="A78" s="64"/>
      <c r="F78" s="64"/>
    </row>
    <row r="80" spans="1:6" x14ac:dyDescent="0.25">
      <c r="A80" s="318" t="s">
        <v>236</v>
      </c>
      <c r="B80" s="73"/>
      <c r="C80" s="73"/>
      <c r="D80" s="73"/>
      <c r="E80" s="73"/>
      <c r="F80" s="73"/>
    </row>
    <row r="81" spans="1:6" s="54" customFormat="1" x14ac:dyDescent="0.25">
      <c r="A81" s="318"/>
      <c r="B81" s="73"/>
      <c r="C81" s="73"/>
      <c r="D81" s="73"/>
      <c r="E81" s="73"/>
      <c r="F81" s="73"/>
    </row>
    <row r="83" spans="1:6" x14ac:dyDescent="0.25">
      <c r="A83" s="87" t="s">
        <v>235</v>
      </c>
    </row>
    <row r="86" spans="1:6" x14ac:dyDescent="0.25">
      <c r="A86" s="62" t="s">
        <v>215</v>
      </c>
    </row>
    <row r="87" spans="1:6" x14ac:dyDescent="0.25">
      <c r="A87" s="63">
        <v>1</v>
      </c>
    </row>
    <row r="88" spans="1:6" x14ac:dyDescent="0.25">
      <c r="A88" s="64" t="s">
        <v>55</v>
      </c>
    </row>
    <row r="89" spans="1:6" x14ac:dyDescent="0.25">
      <c r="A89" s="63">
        <v>2</v>
      </c>
    </row>
    <row r="90" spans="1:6" x14ac:dyDescent="0.25">
      <c r="A90" s="64" t="s">
        <v>59</v>
      </c>
    </row>
    <row r="91" spans="1:6" x14ac:dyDescent="0.25">
      <c r="A91" s="63">
        <v>3</v>
      </c>
    </row>
    <row r="92" spans="1:6" x14ac:dyDescent="0.25">
      <c r="A92" s="64" t="s">
        <v>4</v>
      </c>
    </row>
    <row r="96" spans="1:6" x14ac:dyDescent="0.25">
      <c r="A96" s="319" t="s">
        <v>237</v>
      </c>
      <c r="B96" s="73"/>
      <c r="C96" s="73"/>
      <c r="D96" s="73"/>
      <c r="E96" s="73"/>
      <c r="F96" s="73"/>
    </row>
    <row r="97" spans="1:6" s="54" customFormat="1" x14ac:dyDescent="0.25">
      <c r="A97" s="319"/>
      <c r="B97" s="73"/>
      <c r="C97" s="73"/>
      <c r="D97" s="73"/>
      <c r="E97" s="73"/>
      <c r="F97" s="73"/>
    </row>
    <row r="99" spans="1:6" x14ac:dyDescent="0.25">
      <c r="A99" s="87" t="s">
        <v>216</v>
      </c>
    </row>
    <row r="101" spans="1:6" x14ac:dyDescent="0.25">
      <c r="A101" s="89" t="s">
        <v>181</v>
      </c>
    </row>
    <row r="102" spans="1:6" x14ac:dyDescent="0.25">
      <c r="A102" s="62" t="s">
        <v>179</v>
      </c>
    </row>
    <row r="103" spans="1:6" x14ac:dyDescent="0.25">
      <c r="A103" s="63">
        <v>1</v>
      </c>
    </row>
    <row r="104" spans="1:6" x14ac:dyDescent="0.25">
      <c r="A104" s="64" t="s">
        <v>1</v>
      </c>
    </row>
    <row r="107" spans="1:6" x14ac:dyDescent="0.25">
      <c r="A107" s="80"/>
    </row>
    <row r="108" spans="1:6" x14ac:dyDescent="0.25">
      <c r="A108" s="89" t="s">
        <v>217</v>
      </c>
    </row>
    <row r="109" spans="1:6" x14ac:dyDescent="0.25">
      <c r="A109" s="62" t="s">
        <v>179</v>
      </c>
    </row>
    <row r="110" spans="1:6" x14ac:dyDescent="0.25">
      <c r="A110" s="63">
        <v>1</v>
      </c>
    </row>
    <row r="111" spans="1:6" x14ac:dyDescent="0.25">
      <c r="A111" s="64" t="s">
        <v>54</v>
      </c>
    </row>
    <row r="114" spans="1:1" x14ac:dyDescent="0.25">
      <c r="A114" s="80"/>
    </row>
    <row r="115" spans="1:1" x14ac:dyDescent="0.25">
      <c r="A115" s="89" t="s">
        <v>183</v>
      </c>
    </row>
    <row r="116" spans="1:1" x14ac:dyDescent="0.25">
      <c r="A116" s="62" t="s">
        <v>179</v>
      </c>
    </row>
    <row r="117" spans="1:1" x14ac:dyDescent="0.25">
      <c r="A117" s="63">
        <v>1</v>
      </c>
    </row>
    <row r="118" spans="1:1" x14ac:dyDescent="0.25">
      <c r="A118" s="64" t="s">
        <v>55</v>
      </c>
    </row>
    <row r="121" spans="1:1" x14ac:dyDescent="0.25">
      <c r="A121" s="80"/>
    </row>
    <row r="122" spans="1:1" x14ac:dyDescent="0.25">
      <c r="A122" s="89" t="s">
        <v>184</v>
      </c>
    </row>
    <row r="123" spans="1:1" x14ac:dyDescent="0.25">
      <c r="A123" s="62" t="s">
        <v>179</v>
      </c>
    </row>
    <row r="124" spans="1:1" x14ac:dyDescent="0.25">
      <c r="A124" s="63">
        <v>1</v>
      </c>
    </row>
    <row r="125" spans="1:1" x14ac:dyDescent="0.25">
      <c r="A125" s="64" t="s">
        <v>6</v>
      </c>
    </row>
    <row r="128" spans="1:1" x14ac:dyDescent="0.25">
      <c r="A128" s="80"/>
    </row>
    <row r="129" spans="1:1" x14ac:dyDescent="0.25">
      <c r="A129" s="89" t="s">
        <v>185</v>
      </c>
    </row>
    <row r="130" spans="1:1" x14ac:dyDescent="0.25">
      <c r="A130" s="62" t="s">
        <v>179</v>
      </c>
    </row>
    <row r="131" spans="1:1" x14ac:dyDescent="0.25">
      <c r="A131" s="63">
        <v>1</v>
      </c>
    </row>
    <row r="132" spans="1:1" x14ac:dyDescent="0.25">
      <c r="A132" s="64" t="s">
        <v>59</v>
      </c>
    </row>
  </sheetData>
  <dataConsolidate/>
  <mergeCells count="8">
    <mergeCell ref="A1:F3"/>
    <mergeCell ref="A48:A49"/>
    <mergeCell ref="A64:A65"/>
    <mergeCell ref="A80:A81"/>
    <mergeCell ref="A96:A97"/>
    <mergeCell ref="A44:A45"/>
    <mergeCell ref="A7:E8"/>
    <mergeCell ref="B44:B45"/>
  </mergeCells>
  <dataValidations count="4">
    <dataValidation type="list" allowBlank="1" showInputMessage="1" showErrorMessage="1" sqref="A4">
      <formula1>Kuisioner_ke</formula1>
    </dataValidation>
    <dataValidation type="list" allowBlank="1" showInputMessage="1" showErrorMessage="1" sqref="A5">
      <formula1>pilihan_channel</formula1>
    </dataValidation>
    <dataValidation type="list" allowBlank="1" showInputMessage="1" showErrorMessage="1" sqref="F18">
      <formula1>cabang</formula1>
    </dataValidation>
    <dataValidation allowBlank="1" showInputMessage="1" showErrorMessage="1" promptTitle="Penting" prompt="Ubah batas akhir pada rumus sesuai dengan baris data akhir untuk banyaknya baris survei cabang (D4 : Dn) yang ada di Database" sqref="B11"/>
  </dataValidations>
  <pageMargins left="0.7" right="0.7" top="0.75" bottom="0.75" header="0.3" footer="0.3"/>
  <pageSetup orientation="portrait" r:id="rId10"/>
  <drawing r:id="rId1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12"/>
  <sheetViews>
    <sheetView topLeftCell="A25" workbookViewId="0">
      <selection activeCell="D20" sqref="D20"/>
    </sheetView>
  </sheetViews>
  <sheetFormatPr defaultRowHeight="15" x14ac:dyDescent="0.25"/>
  <cols>
    <col min="1" max="1" width="89.5703125" style="54" bestFit="1" customWidth="1"/>
    <col min="2" max="2" width="17.85546875" style="54" customWidth="1"/>
    <col min="3" max="3" width="11.140625" style="54" bestFit="1" customWidth="1"/>
    <col min="4" max="4" width="12.7109375" style="54" customWidth="1"/>
    <col min="5" max="5" width="11" style="54" customWidth="1"/>
    <col min="6" max="6" width="71" style="54" customWidth="1"/>
    <col min="7" max="7" width="9.28515625" style="54" customWidth="1"/>
    <col min="8" max="16384" width="9.140625" style="54"/>
  </cols>
  <sheetData>
    <row r="1" spans="1:22" x14ac:dyDescent="0.25">
      <c r="A1" s="322" t="s">
        <v>163</v>
      </c>
      <c r="B1" s="322"/>
      <c r="C1" s="322"/>
      <c r="D1" s="322"/>
      <c r="E1" s="322"/>
      <c r="F1" s="322"/>
    </row>
    <row r="2" spans="1:22" x14ac:dyDescent="0.25">
      <c r="A2" s="322"/>
      <c r="B2" s="322"/>
      <c r="C2" s="322"/>
      <c r="D2" s="322"/>
      <c r="E2" s="322"/>
      <c r="F2" s="322"/>
    </row>
    <row r="3" spans="1:22" x14ac:dyDescent="0.25">
      <c r="A3" s="322"/>
      <c r="B3" s="322"/>
      <c r="C3" s="322"/>
      <c r="D3" s="322"/>
      <c r="E3" s="322"/>
      <c r="F3" s="322"/>
    </row>
    <row r="4" spans="1:22" x14ac:dyDescent="0.25">
      <c r="A4" s="72" t="s">
        <v>110</v>
      </c>
    </row>
    <row r="5" spans="1:22" x14ac:dyDescent="0.25">
      <c r="A5" s="72" t="s">
        <v>164</v>
      </c>
    </row>
    <row r="6" spans="1:22" x14ac:dyDescent="0.25">
      <c r="A6" s="72" t="s">
        <v>67</v>
      </c>
    </row>
    <row r="7" spans="1:22" x14ac:dyDescent="0.25"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76"/>
      <c r="S7" s="76"/>
      <c r="T7" s="76"/>
      <c r="U7" s="76"/>
      <c r="V7" s="76"/>
    </row>
    <row r="8" spans="1:22" ht="15" customHeight="1" x14ac:dyDescent="0.25">
      <c r="A8" s="321" t="s">
        <v>218</v>
      </c>
      <c r="B8" s="321"/>
      <c r="C8" s="321"/>
      <c r="D8" s="321"/>
      <c r="E8" s="321"/>
      <c r="F8" s="321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76"/>
      <c r="S8" s="76"/>
      <c r="T8" s="76"/>
      <c r="U8" s="76"/>
      <c r="V8" s="76"/>
    </row>
    <row r="9" spans="1:22" ht="15" customHeight="1" x14ac:dyDescent="0.25">
      <c r="A9" s="321"/>
      <c r="B9" s="321"/>
      <c r="C9" s="321"/>
      <c r="D9" s="321"/>
      <c r="E9" s="321"/>
      <c r="F9" s="321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76"/>
      <c r="S9" s="76"/>
      <c r="T9" s="76"/>
      <c r="U9" s="76"/>
      <c r="V9" s="76"/>
    </row>
    <row r="10" spans="1:2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76"/>
      <c r="S10" s="76"/>
      <c r="T10" s="76"/>
      <c r="U10" s="76"/>
      <c r="V10" s="76"/>
    </row>
    <row r="11" spans="1:22" x14ac:dyDescent="0.25">
      <c r="A11" s="6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76"/>
      <c r="S11" s="76"/>
      <c r="T11" s="76"/>
      <c r="U11" s="76"/>
      <c r="V11" s="76"/>
    </row>
    <row r="12" spans="1:22" ht="15" customHeight="1" x14ac:dyDescent="0.25">
      <c r="A12" s="83" t="s">
        <v>204</v>
      </c>
      <c r="B12" s="83"/>
      <c r="C12" s="83"/>
      <c r="D12" s="83"/>
      <c r="E12" s="78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76"/>
      <c r="S12" s="76"/>
      <c r="T12" s="76"/>
      <c r="U12" s="76"/>
      <c r="V12" s="76"/>
    </row>
    <row r="13" spans="1:22" ht="15" customHeight="1" x14ac:dyDescent="0.25">
      <c r="A13" s="83"/>
      <c r="B13" s="83"/>
      <c r="C13" s="83"/>
      <c r="D13" s="83"/>
      <c r="E13" s="78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76"/>
      <c r="S13" s="76"/>
      <c r="T13" s="76"/>
      <c r="U13" s="76"/>
      <c r="V13" s="76"/>
    </row>
    <row r="14" spans="1:22" ht="15" customHeight="1" x14ac:dyDescent="0.25">
      <c r="A14" s="84" t="s">
        <v>203</v>
      </c>
      <c r="B14" s="83"/>
      <c r="C14" s="83"/>
      <c r="D14" s="83"/>
      <c r="E14" s="78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76"/>
      <c r="S14" s="76"/>
      <c r="T14" s="76"/>
      <c r="U14" s="76"/>
      <c r="V14" s="76"/>
    </row>
    <row r="15" spans="1:22" ht="15" customHeight="1" x14ac:dyDescent="0.25">
      <c r="A15" s="83"/>
      <c r="B15" s="83"/>
      <c r="C15" s="83"/>
      <c r="D15" s="83"/>
      <c r="E15" s="78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76"/>
      <c r="S15" s="76"/>
      <c r="T15" s="76"/>
      <c r="U15" s="76"/>
      <c r="V15" s="76"/>
    </row>
    <row r="16" spans="1:22" ht="15" customHeight="1" x14ac:dyDescent="0.25">
      <c r="A16" s="83"/>
      <c r="B16" s="83"/>
      <c r="C16" s="83"/>
      <c r="D16" s="83"/>
      <c r="E16" s="78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76"/>
      <c r="S16" s="76"/>
      <c r="T16" s="76"/>
      <c r="U16" s="76"/>
      <c r="V16" s="76"/>
    </row>
    <row r="17" spans="1:22" ht="15" customHeight="1" x14ac:dyDescent="0.25">
      <c r="A17" s="83"/>
      <c r="B17" s="83"/>
      <c r="C17" s="83"/>
      <c r="D17" s="83"/>
      <c r="E17" s="78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76"/>
      <c r="S17" s="76"/>
      <c r="T17" s="76"/>
      <c r="U17" s="76"/>
      <c r="V17" s="76"/>
    </row>
    <row r="18" spans="1:22" x14ac:dyDescent="0.25">
      <c r="A18" s="77"/>
      <c r="B18" s="77"/>
      <c r="C18" s="77"/>
      <c r="D18" s="77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76"/>
      <c r="S18" s="76"/>
      <c r="T18" s="76"/>
      <c r="U18" s="76"/>
      <c r="V18" s="76"/>
    </row>
    <row r="19" spans="1:22" ht="15.75" x14ac:dyDescent="0.25">
      <c r="A19" s="62" t="s">
        <v>8</v>
      </c>
      <c r="B19" s="54" t="s">
        <v>174</v>
      </c>
      <c r="C19" s="84"/>
      <c r="D19" s="84"/>
      <c r="E19" s="84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76"/>
      <c r="S19" s="76"/>
      <c r="T19" s="76"/>
      <c r="U19" s="76"/>
      <c r="V19" s="76"/>
    </row>
    <row r="20" spans="1:22" ht="15.75" x14ac:dyDescent="0.25">
      <c r="A20" s="62" t="s">
        <v>13</v>
      </c>
      <c r="B20" s="54" t="s">
        <v>174</v>
      </c>
      <c r="C20" s="84"/>
      <c r="D20" s="84"/>
      <c r="E20" s="84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76"/>
      <c r="S20" s="76"/>
      <c r="T20" s="76"/>
      <c r="U20" s="76"/>
      <c r="V20" s="76"/>
    </row>
    <row r="21" spans="1:22" ht="15.75" x14ac:dyDescent="0.25">
      <c r="A21" s="62" t="s">
        <v>9</v>
      </c>
      <c r="B21" s="54" t="s">
        <v>219</v>
      </c>
      <c r="C21" s="84"/>
      <c r="D21" s="84"/>
      <c r="E21" s="84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76"/>
      <c r="S21" s="76"/>
      <c r="T21" s="76"/>
      <c r="U21" s="76"/>
      <c r="V21" s="76"/>
    </row>
    <row r="22" spans="1:22" ht="15.75" x14ac:dyDescent="0.25">
      <c r="A22" s="84"/>
      <c r="B22" s="84"/>
      <c r="C22" s="84"/>
      <c r="D22" s="84"/>
      <c r="E22" s="84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76"/>
      <c r="S22" s="76"/>
      <c r="T22" s="76"/>
      <c r="U22" s="76"/>
      <c r="V22" s="76"/>
    </row>
    <row r="23" spans="1:22" ht="15.75" x14ac:dyDescent="0.25">
      <c r="A23" s="62" t="s">
        <v>175</v>
      </c>
      <c r="B23" t="s">
        <v>201</v>
      </c>
      <c r="C23"/>
      <c r="D23" s="84"/>
      <c r="E23" s="84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76"/>
      <c r="S23" s="76"/>
      <c r="T23" s="76"/>
      <c r="U23" s="76"/>
      <c r="V23" s="76"/>
    </row>
    <row r="24" spans="1:22" ht="15.75" x14ac:dyDescent="0.25">
      <c r="A24" s="63" t="s">
        <v>162</v>
      </c>
      <c r="B24" s="85">
        <v>162</v>
      </c>
      <c r="C24"/>
      <c r="D24" s="84"/>
      <c r="E24" s="84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76"/>
      <c r="S24" s="76"/>
      <c r="T24" s="76"/>
      <c r="U24" s="76"/>
      <c r="V24" s="76"/>
    </row>
    <row r="25" spans="1:22" ht="15.75" x14ac:dyDescent="0.25">
      <c r="A25" s="63" t="s">
        <v>38</v>
      </c>
      <c r="B25" s="85">
        <v>23</v>
      </c>
      <c r="C25"/>
      <c r="D25" s="84"/>
      <c r="E25" s="84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76"/>
      <c r="S25" s="76"/>
      <c r="T25" s="76"/>
      <c r="U25" s="76"/>
      <c r="V25" s="76"/>
    </row>
    <row r="26" spans="1:22" ht="15.75" x14ac:dyDescent="0.25">
      <c r="A26" s="63" t="s">
        <v>176</v>
      </c>
      <c r="B26" s="85">
        <v>185</v>
      </c>
      <c r="C26"/>
      <c r="D26" s="84"/>
      <c r="E26" s="84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76"/>
      <c r="S26" s="76"/>
      <c r="T26" s="76"/>
      <c r="U26" s="76"/>
      <c r="V26" s="76"/>
    </row>
    <row r="27" spans="1:22" ht="15.75" x14ac:dyDescent="0.25">
      <c r="A27"/>
      <c r="B27"/>
      <c r="C27"/>
      <c r="D27" s="84"/>
      <c r="E27" s="84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76"/>
      <c r="S27" s="76"/>
      <c r="T27" s="76"/>
      <c r="U27" s="76"/>
      <c r="V27" s="76"/>
    </row>
    <row r="28" spans="1:22" ht="15.75" x14ac:dyDescent="0.25">
      <c r="A28"/>
      <c r="B28"/>
      <c r="C28"/>
      <c r="D28" s="84"/>
      <c r="E28" s="84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76"/>
      <c r="S28" s="76"/>
      <c r="T28" s="76"/>
      <c r="U28" s="76"/>
      <c r="V28" s="76"/>
    </row>
    <row r="29" spans="1:22" ht="15.75" x14ac:dyDescent="0.25">
      <c r="A29"/>
      <c r="B29"/>
      <c r="C29"/>
      <c r="D29" s="84"/>
      <c r="E29" s="84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76"/>
      <c r="S29" s="76"/>
      <c r="T29" s="76"/>
      <c r="U29" s="76"/>
      <c r="V29" s="76"/>
    </row>
    <row r="30" spans="1:22" ht="15.75" x14ac:dyDescent="0.25">
      <c r="A30"/>
      <c r="B30"/>
      <c r="C30"/>
      <c r="D30" s="84"/>
      <c r="E30" s="84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76"/>
      <c r="S30" s="76"/>
      <c r="T30" s="76"/>
      <c r="U30" s="76"/>
      <c r="V30" s="76"/>
    </row>
    <row r="31" spans="1:22" ht="15.75" x14ac:dyDescent="0.25">
      <c r="A31"/>
      <c r="B31"/>
      <c r="C31"/>
      <c r="D31" s="84"/>
      <c r="E31" s="84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76"/>
      <c r="S31" s="76"/>
      <c r="T31" s="76"/>
      <c r="U31" s="76"/>
      <c r="V31" s="76"/>
    </row>
    <row r="32" spans="1:22" ht="15.75" x14ac:dyDescent="0.25">
      <c r="A32" s="88" t="s">
        <v>206</v>
      </c>
      <c r="B32" s="79"/>
      <c r="C32" s="323" t="e">
        <f>'Hasil Survei Region'!L31</f>
        <v>#DIV/0!</v>
      </c>
      <c r="D32" s="79"/>
      <c r="F32" s="79"/>
    </row>
    <row r="33" spans="1:22" x14ac:dyDescent="0.25">
      <c r="C33" s="323"/>
    </row>
    <row r="35" spans="1:22" x14ac:dyDescent="0.25"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76"/>
      <c r="S35" s="76"/>
      <c r="T35" s="76"/>
      <c r="U35" s="76"/>
      <c r="V35" s="76"/>
    </row>
    <row r="36" spans="1:22" x14ac:dyDescent="0.25">
      <c r="A36" s="324" t="s">
        <v>228</v>
      </c>
      <c r="B36" s="80"/>
      <c r="C36" s="80"/>
      <c r="D36" s="80"/>
      <c r="E36" s="80"/>
      <c r="F36" s="325" t="s">
        <v>229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76"/>
      <c r="S36" s="76"/>
      <c r="T36" s="76"/>
      <c r="U36" s="76"/>
      <c r="V36" s="76"/>
    </row>
    <row r="37" spans="1:22" x14ac:dyDescent="0.25">
      <c r="A37" s="324"/>
      <c r="B37" s="73"/>
      <c r="C37" s="73"/>
      <c r="D37" s="73"/>
      <c r="E37" s="73"/>
      <c r="F37" s="3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76"/>
      <c r="S37" s="76"/>
      <c r="T37" s="76"/>
      <c r="U37" s="76"/>
      <c r="V37" s="76"/>
    </row>
    <row r="38" spans="1:22" x14ac:dyDescent="0.25">
      <c r="A38" s="73"/>
      <c r="B38" s="73"/>
      <c r="C38" s="73"/>
      <c r="D38" s="73"/>
      <c r="E38" s="73"/>
      <c r="F38" s="73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76"/>
      <c r="S38" s="76"/>
      <c r="T38" s="76"/>
      <c r="U38" s="76"/>
      <c r="V38" s="76"/>
    </row>
    <row r="39" spans="1:22" x14ac:dyDescent="0.25">
      <c r="A39" s="87" t="s">
        <v>221</v>
      </c>
      <c r="F39" s="87" t="s">
        <v>222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76"/>
      <c r="S39" s="76"/>
      <c r="T39" s="76"/>
      <c r="U39" s="76"/>
      <c r="V39" s="76"/>
    </row>
    <row r="40" spans="1:22" x14ac:dyDescent="0.25"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76"/>
      <c r="S40" s="76"/>
      <c r="T40" s="76"/>
      <c r="U40" s="76"/>
      <c r="V40" s="76"/>
    </row>
    <row r="41" spans="1:22" x14ac:dyDescent="0.25">
      <c r="A41" s="62" t="s">
        <v>179</v>
      </c>
      <c r="B41"/>
      <c r="C41"/>
      <c r="F41" s="62" t="s">
        <v>179</v>
      </c>
      <c r="G41"/>
      <c r="H41"/>
    </row>
    <row r="42" spans="1:22" x14ac:dyDescent="0.25">
      <c r="A42" s="63">
        <v>1</v>
      </c>
      <c r="B42"/>
      <c r="C42"/>
      <c r="F42" s="63">
        <v>1</v>
      </c>
      <c r="G42"/>
      <c r="H42"/>
    </row>
    <row r="43" spans="1:22" x14ac:dyDescent="0.25">
      <c r="A43" s="64" t="s">
        <v>0</v>
      </c>
      <c r="B43"/>
      <c r="C43"/>
      <c r="F43" s="64" t="s">
        <v>55</v>
      </c>
      <c r="G43"/>
      <c r="H43"/>
    </row>
    <row r="44" spans="1:22" x14ac:dyDescent="0.25">
      <c r="A44" s="63">
        <v>2</v>
      </c>
      <c r="B44"/>
      <c r="C44"/>
      <c r="F44" s="63">
        <v>2</v>
      </c>
      <c r="G44"/>
      <c r="H44"/>
    </row>
    <row r="45" spans="1:22" x14ac:dyDescent="0.25">
      <c r="A45" s="64" t="s">
        <v>2</v>
      </c>
      <c r="B45"/>
      <c r="C45"/>
      <c r="F45" s="64" t="s">
        <v>2</v>
      </c>
      <c r="G45"/>
      <c r="H45"/>
    </row>
    <row r="46" spans="1:22" x14ac:dyDescent="0.25">
      <c r="A46" s="63">
        <v>3</v>
      </c>
      <c r="B46"/>
      <c r="C46"/>
      <c r="F46" s="63">
        <v>3</v>
      </c>
      <c r="G46"/>
      <c r="H46"/>
    </row>
    <row r="47" spans="1:22" x14ac:dyDescent="0.25">
      <c r="A47" s="64" t="s">
        <v>6</v>
      </c>
      <c r="B47"/>
      <c r="C47"/>
      <c r="F47" s="64" t="s">
        <v>1</v>
      </c>
      <c r="G47"/>
      <c r="H47"/>
    </row>
    <row r="48" spans="1:22" x14ac:dyDescent="0.25">
      <c r="A48"/>
      <c r="B48"/>
      <c r="C48"/>
      <c r="F48"/>
      <c r="G48"/>
      <c r="H48"/>
    </row>
    <row r="49" spans="1:8" x14ac:dyDescent="0.25">
      <c r="A49"/>
      <c r="B49"/>
      <c r="C49"/>
      <c r="F49"/>
      <c r="G49"/>
      <c r="H49"/>
    </row>
    <row r="51" spans="1:8" x14ac:dyDescent="0.25">
      <c r="A51" s="318" t="s">
        <v>227</v>
      </c>
      <c r="B51" s="80"/>
      <c r="C51" s="80"/>
      <c r="D51" s="80"/>
      <c r="E51" s="80"/>
      <c r="F51" s="80"/>
    </row>
    <row r="52" spans="1:8" x14ac:dyDescent="0.25">
      <c r="A52" s="318"/>
      <c r="B52" s="73"/>
      <c r="C52" s="73"/>
      <c r="D52" s="73"/>
      <c r="E52" s="73"/>
      <c r="F52" s="73"/>
    </row>
    <row r="54" spans="1:8" x14ac:dyDescent="0.25">
      <c r="A54" s="87" t="s">
        <v>223</v>
      </c>
    </row>
    <row r="56" spans="1:8" x14ac:dyDescent="0.25">
      <c r="A56" s="62" t="s">
        <v>179</v>
      </c>
      <c r="B56"/>
      <c r="C56"/>
    </row>
    <row r="57" spans="1:8" x14ac:dyDescent="0.25">
      <c r="A57" s="63">
        <v>1</v>
      </c>
      <c r="B57"/>
      <c r="C57"/>
    </row>
    <row r="58" spans="1:8" x14ac:dyDescent="0.25">
      <c r="A58" s="64" t="s">
        <v>55</v>
      </c>
      <c r="B58"/>
      <c r="C58"/>
    </row>
    <row r="59" spans="1:8" x14ac:dyDescent="0.25">
      <c r="A59" s="63">
        <v>2</v>
      </c>
      <c r="B59"/>
      <c r="C59"/>
    </row>
    <row r="60" spans="1:8" x14ac:dyDescent="0.25">
      <c r="A60" s="64" t="s">
        <v>4</v>
      </c>
      <c r="B60"/>
      <c r="C60"/>
    </row>
    <row r="61" spans="1:8" x14ac:dyDescent="0.25">
      <c r="A61" s="64" t="s">
        <v>1</v>
      </c>
      <c r="B61"/>
      <c r="C61"/>
    </row>
    <row r="62" spans="1:8" x14ac:dyDescent="0.25">
      <c r="A62"/>
      <c r="B62"/>
      <c r="C62"/>
    </row>
    <row r="64" spans="1:8" x14ac:dyDescent="0.25">
      <c r="A64"/>
      <c r="B64"/>
      <c r="C64"/>
    </row>
    <row r="65" spans="1:6" x14ac:dyDescent="0.25">
      <c r="A65" s="319" t="s">
        <v>226</v>
      </c>
      <c r="B65" s="80"/>
      <c r="C65" s="80"/>
      <c r="D65" s="80"/>
      <c r="E65" s="80"/>
      <c r="F65" s="80"/>
    </row>
    <row r="66" spans="1:6" x14ac:dyDescent="0.25">
      <c r="A66" s="319"/>
      <c r="B66" s="73"/>
      <c r="C66" s="73"/>
      <c r="D66" s="73"/>
      <c r="E66" s="73"/>
      <c r="F66" s="73"/>
    </row>
    <row r="68" spans="1:6" x14ac:dyDescent="0.25">
      <c r="A68" s="87" t="s">
        <v>216</v>
      </c>
    </row>
    <row r="70" spans="1:6" x14ac:dyDescent="0.25">
      <c r="A70" s="65" t="s">
        <v>181</v>
      </c>
    </row>
    <row r="71" spans="1:6" x14ac:dyDescent="0.25">
      <c r="A71" s="62" t="s">
        <v>179</v>
      </c>
      <c r="B71"/>
      <c r="C71"/>
    </row>
    <row r="72" spans="1:6" x14ac:dyDescent="0.25">
      <c r="A72" s="63">
        <v>1</v>
      </c>
      <c r="B72"/>
      <c r="C72"/>
    </row>
    <row r="73" spans="1:6" x14ac:dyDescent="0.25">
      <c r="A73" s="64" t="s">
        <v>1</v>
      </c>
      <c r="B73"/>
      <c r="C73"/>
    </row>
    <row r="74" spans="1:6" x14ac:dyDescent="0.25">
      <c r="A74"/>
      <c r="B74"/>
      <c r="C74"/>
    </row>
    <row r="75" spans="1:6" x14ac:dyDescent="0.25">
      <c r="A75"/>
      <c r="B75"/>
      <c r="C75"/>
    </row>
    <row r="76" spans="1:6" x14ac:dyDescent="0.25">
      <c r="A76" s="65" t="s">
        <v>182</v>
      </c>
      <c r="B76"/>
      <c r="C76"/>
    </row>
    <row r="77" spans="1:6" x14ac:dyDescent="0.25">
      <c r="A77" s="62" t="s">
        <v>179</v>
      </c>
      <c r="B77"/>
      <c r="C77"/>
    </row>
    <row r="78" spans="1:6" x14ac:dyDescent="0.25">
      <c r="A78" s="63">
        <v>1</v>
      </c>
      <c r="B78"/>
      <c r="C78"/>
    </row>
    <row r="79" spans="1:6" x14ac:dyDescent="0.25">
      <c r="A79" s="64" t="s">
        <v>54</v>
      </c>
      <c r="B79"/>
      <c r="C79"/>
    </row>
    <row r="80" spans="1:6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 s="65" t="s">
        <v>183</v>
      </c>
      <c r="B82"/>
      <c r="C82"/>
    </row>
    <row r="83" spans="1:3" x14ac:dyDescent="0.25">
      <c r="A83" s="62" t="s">
        <v>179</v>
      </c>
      <c r="B83"/>
      <c r="C83"/>
    </row>
    <row r="84" spans="1:3" x14ac:dyDescent="0.25">
      <c r="A84" s="63">
        <v>1</v>
      </c>
      <c r="B84"/>
      <c r="C84"/>
    </row>
    <row r="85" spans="1:3" x14ac:dyDescent="0.25">
      <c r="A85" s="64" t="s">
        <v>55</v>
      </c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 s="65" t="s">
        <v>184</v>
      </c>
      <c r="B88"/>
      <c r="C88"/>
    </row>
    <row r="89" spans="1:3" x14ac:dyDescent="0.25">
      <c r="A89" s="62" t="s">
        <v>179</v>
      </c>
      <c r="B89"/>
      <c r="C89"/>
    </row>
    <row r="90" spans="1:3" x14ac:dyDescent="0.25">
      <c r="A90" s="63">
        <v>1</v>
      </c>
      <c r="B90"/>
      <c r="C90"/>
    </row>
    <row r="91" spans="1:3" x14ac:dyDescent="0.25">
      <c r="A91" s="64" t="s">
        <v>58</v>
      </c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 s="65" t="s">
        <v>185</v>
      </c>
      <c r="B94"/>
      <c r="C94"/>
    </row>
    <row r="95" spans="1:3" x14ac:dyDescent="0.25">
      <c r="A95" s="62" t="s">
        <v>179</v>
      </c>
      <c r="B95"/>
      <c r="C95"/>
    </row>
    <row r="96" spans="1:3" x14ac:dyDescent="0.25">
      <c r="A96" s="63">
        <v>1</v>
      </c>
      <c r="B96"/>
      <c r="C96"/>
    </row>
    <row r="97" spans="1:3" x14ac:dyDescent="0.25">
      <c r="A97" s="64" t="s">
        <v>59</v>
      </c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</sheetData>
  <mergeCells count="7">
    <mergeCell ref="A51:A52"/>
    <mergeCell ref="A65:A66"/>
    <mergeCell ref="A1:F3"/>
    <mergeCell ref="A8:F9"/>
    <mergeCell ref="C32:C33"/>
    <mergeCell ref="A36:A37"/>
    <mergeCell ref="F36:F37"/>
  </mergeCells>
  <dataValidations count="3">
    <dataValidation type="list" allowBlank="1" showInputMessage="1" showErrorMessage="1" sqref="A4">
      <formula1>Kuisioner_ke</formula1>
    </dataValidation>
    <dataValidation type="list" allowBlank="1" showInputMessage="1" showErrorMessage="1" sqref="A5">
      <formula1>Region</formula1>
    </dataValidation>
    <dataValidation type="list" allowBlank="1" showInputMessage="1" showErrorMessage="1" sqref="A6">
      <formula1>pilihan_channel</formula1>
    </dataValidation>
  </dataValidations>
  <pageMargins left="0.7" right="0.7" top="0.75" bottom="0.75" header="0.3" footer="0.3"/>
  <pageSetup orientation="portrait" r:id="rId10"/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Database</vt:lpstr>
      <vt:lpstr>Keterangan</vt:lpstr>
      <vt:lpstr>Hasil Survei Nasional</vt:lpstr>
      <vt:lpstr>Hasil Survei Region</vt:lpstr>
      <vt:lpstr>Hasil Survei Cabang</vt:lpstr>
      <vt:lpstr>Rank</vt:lpstr>
      <vt:lpstr>Draft</vt:lpstr>
      <vt:lpstr>Cabang</vt:lpstr>
      <vt:lpstr>Nasional</vt:lpstr>
      <vt:lpstr>Region</vt:lpstr>
      <vt:lpstr>Barat</vt:lpstr>
      <vt:lpstr>cabang</vt:lpstr>
      <vt:lpstr>cabangsudah</vt:lpstr>
      <vt:lpstr>channel</vt:lpstr>
      <vt:lpstr>Nasional!Criteria</vt:lpstr>
      <vt:lpstr>Dataview</vt:lpstr>
      <vt:lpstr>Nasional!Extract</vt:lpstr>
      <vt:lpstr>KELAS</vt:lpstr>
      <vt:lpstr>KelasA</vt:lpstr>
      <vt:lpstr>KelasB</vt:lpstr>
      <vt:lpstr>KelasC</vt:lpstr>
      <vt:lpstr>KelasD</vt:lpstr>
      <vt:lpstr>Kuisioner_ke</vt:lpstr>
      <vt:lpstr>pilihan_channel</vt:lpstr>
      <vt:lpstr>Region</vt:lpstr>
      <vt:lpstr>Tengah</vt:lpstr>
      <vt:lpstr>Timur</vt:lpstr>
      <vt:lpstr>yangsudah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Amran</cp:lastModifiedBy>
  <cp:lastPrinted>2016-05-02T09:57:44Z</cp:lastPrinted>
  <dcterms:created xsi:type="dcterms:W3CDTF">2016-04-28T08:02:30Z</dcterms:created>
  <dcterms:modified xsi:type="dcterms:W3CDTF">2017-07-14T09:53:08Z</dcterms:modified>
</cp:coreProperties>
</file>